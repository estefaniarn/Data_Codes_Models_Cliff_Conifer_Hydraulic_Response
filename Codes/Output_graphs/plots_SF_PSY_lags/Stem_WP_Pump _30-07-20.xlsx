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efaniaroldannicolau/Documents/GitHub/Thesis/Paper_1/ANALYSIS/leaf_branch_comp/"/>
    </mc:Choice>
  </mc:AlternateContent>
  <xr:revisionPtr revIDLastSave="0" documentId="13_ncr:1_{FF544C5F-FAE0-1D47-94E2-D0DCD8A74474}" xr6:coauthVersionLast="47" xr6:coauthVersionMax="47" xr10:uidLastSave="{00000000-0000-0000-0000-000000000000}"/>
  <bookViews>
    <workbookView xWindow="3220" yWindow="500" windowWidth="25580" windowHeight="16060" tabRatio="500" xr2:uid="{00000000-000D-0000-FFFF-FFFF00000000}"/>
  </bookViews>
  <sheets>
    <sheet name="Leaf" sheetId="1" r:id="rId1"/>
    <sheet name="PSY" sheetId="2" r:id="rId2"/>
    <sheet name="Notes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M87" i="1" l="1"/>
  <c r="M65" i="1"/>
  <c r="M59" i="1"/>
  <c r="M53" i="1"/>
  <c r="M47" i="1"/>
  <c r="M40" i="1"/>
  <c r="M35" i="1"/>
  <c r="P14" i="1"/>
  <c r="P10" i="1"/>
  <c r="P6" i="1"/>
  <c r="G39" i="1"/>
  <c r="F39" i="1"/>
  <c r="G36" i="1"/>
  <c r="F36" i="1"/>
  <c r="G33" i="1"/>
  <c r="F33" i="1"/>
  <c r="N30" i="1"/>
  <c r="G29" i="1"/>
  <c r="F29" i="1"/>
  <c r="G26" i="1"/>
  <c r="F26" i="1"/>
  <c r="G23" i="1"/>
  <c r="F23" i="1"/>
  <c r="G19" i="1"/>
  <c r="F19" i="1"/>
  <c r="G16" i="1"/>
  <c r="F16" i="1"/>
  <c r="N14" i="1"/>
  <c r="G13" i="1"/>
  <c r="F13" i="1"/>
  <c r="N10" i="1"/>
  <c r="G9" i="1"/>
  <c r="F9" i="1"/>
  <c r="N6" i="1"/>
  <c r="G6" i="1"/>
  <c r="F6" i="1"/>
  <c r="G3" i="1"/>
  <c r="F3" i="1"/>
  <c r="O30" i="1" l="1"/>
  <c r="P30" i="1" s="1"/>
  <c r="I5" i="1"/>
  <c r="O14" i="1"/>
  <c r="J4" i="1"/>
  <c r="O10" i="1"/>
  <c r="O6" i="1"/>
  <c r="J5" i="1"/>
  <c r="I3" i="1"/>
  <c r="J3" i="1"/>
  <c r="I4" i="1"/>
</calcChain>
</file>

<file path=xl/sharedStrings.xml><?xml version="1.0" encoding="utf-8"?>
<sst xmlns="http://schemas.openxmlformats.org/spreadsheetml/2006/main" count="279" uniqueCount="132">
  <si>
    <t>All done 30-07-20</t>
  </si>
  <si>
    <t xml:space="preserve">Time </t>
  </si>
  <si>
    <t xml:space="preserve">Tree </t>
  </si>
  <si>
    <t>Leaf</t>
  </si>
  <si>
    <t xml:space="preserve">Average per tree (Mpa) </t>
  </si>
  <si>
    <t xml:space="preserve">SD (Mpa) </t>
  </si>
  <si>
    <t xml:space="preserve">Average throughout night </t>
  </si>
  <si>
    <t xml:space="preserve">PSYCHROMETER MEASUREMENTS </t>
  </si>
  <si>
    <t>T1</t>
  </si>
  <si>
    <t>Time</t>
  </si>
  <si>
    <t>Corrected Water Potential (MPa)</t>
  </si>
  <si>
    <t>PSY average</t>
  </si>
  <si>
    <t xml:space="preserve">SWP through leaves (average) </t>
  </si>
  <si>
    <t>Difference</t>
  </si>
  <si>
    <t>T2</t>
  </si>
  <si>
    <t>00:30:00</t>
  </si>
  <si>
    <t>T3</t>
  </si>
  <si>
    <t>01:00:00</t>
  </si>
  <si>
    <t>Average 12-1 AM</t>
  </si>
  <si>
    <t>01:30:00</t>
  </si>
  <si>
    <t xml:space="preserve">Notes: </t>
  </si>
  <si>
    <t>02:00:00</t>
  </si>
  <si>
    <t xml:space="preserve">Values make sense from the literature </t>
  </si>
  <si>
    <t>02:30:00</t>
  </si>
  <si>
    <t>03:00:00</t>
  </si>
  <si>
    <t xml:space="preserve">Average 2-3 AM </t>
  </si>
  <si>
    <t>03:30:00</t>
  </si>
  <si>
    <t>04:00:00</t>
  </si>
  <si>
    <t>04:30:00</t>
  </si>
  <si>
    <t>05:00:00</t>
  </si>
  <si>
    <t>Average 4-5 AM</t>
  </si>
  <si>
    <t>05:30:00</t>
  </si>
  <si>
    <t>06:00:00</t>
  </si>
  <si>
    <t>06:30:01</t>
  </si>
  <si>
    <t>07:00:00</t>
  </si>
  <si>
    <t>07:30:00</t>
  </si>
  <si>
    <t>08:00:00</t>
  </si>
  <si>
    <t>08:30:00</t>
  </si>
  <si>
    <t>09:00:00</t>
  </si>
  <si>
    <t>09:30:00</t>
  </si>
  <si>
    <t>10:00:00</t>
  </si>
  <si>
    <t>10:30:00</t>
  </si>
  <si>
    <t>11:00:00</t>
  </si>
  <si>
    <t>11:30:00</t>
  </si>
  <si>
    <t>12:00:00</t>
  </si>
  <si>
    <t>12:30:00</t>
  </si>
  <si>
    <t>13:00:00</t>
  </si>
  <si>
    <t>Average 1-2 PM</t>
  </si>
  <si>
    <t>13:30:00</t>
  </si>
  <si>
    <t>Serial Number:</t>
  </si>
  <si>
    <t>PSY1K30G</t>
  </si>
  <si>
    <t>APP Serial #:</t>
  </si>
  <si>
    <t>Head Serial #:</t>
  </si>
  <si>
    <t>App Ver:</t>
  </si>
  <si>
    <t>R1-7-8</t>
  </si>
  <si>
    <t>COM Ver:</t>
  </si>
  <si>
    <t>R2-6-7</t>
  </si>
  <si>
    <t>Instrument Name:</t>
  </si>
  <si>
    <t>Instrument Comment:</t>
  </si>
  <si>
    <t>Cooling Time:</t>
  </si>
  <si>
    <t>seconds</t>
  </si>
  <si>
    <t>Waiting Time:</t>
  </si>
  <si>
    <t>Warming Duration:</t>
  </si>
  <si>
    <t>Wait before measurement:</t>
  </si>
  <si>
    <t>Chamber Heating Duration:</t>
  </si>
  <si>
    <t>Chamber Heating Schedule:</t>
  </si>
  <si>
    <t xml:space="preserve">continuous </t>
  </si>
  <si>
    <t>C1:</t>
  </si>
  <si>
    <t>C2:</t>
  </si>
  <si>
    <t>Date</t>
  </si>
  <si>
    <t>Chamber Temperature (�C)</t>
  </si>
  <si>
    <t>dT (�V)</t>
  </si>
  <si>
    <t>Wet Bulb Depression (�V)</t>
  </si>
  <si>
    <t>Intercept</t>
  </si>
  <si>
    <t>Slope</t>
  </si>
  <si>
    <t>EDBO</t>
  </si>
  <si>
    <t>Correction for dT (MPa)</t>
  </si>
  <si>
    <t>Correction Factor</t>
  </si>
  <si>
    <t>Internal Battery Voltage (V)</t>
  </si>
  <si>
    <t>Internal Battery Temperature (�C)</t>
  </si>
  <si>
    <t>External Power Supply Present</t>
  </si>
  <si>
    <t>External Power Supply Voltage (V)</t>
  </si>
  <si>
    <t>External Power Supply Current (mA)</t>
  </si>
  <si>
    <t>Diagnostic Comment</t>
  </si>
  <si>
    <t>30/07/2020</t>
  </si>
  <si>
    <t xml:space="preserve">not present </t>
  </si>
  <si>
    <t xml:space="preserve">present </t>
  </si>
  <si>
    <t xml:space="preserve">19/07/2020 </t>
  </si>
  <si>
    <t xml:space="preserve">8:30 to 10:00 pm </t>
  </si>
  <si>
    <t xml:space="preserve">Got parafilm on branches, downloaded data and uninstalled the PSY (stem up) </t>
  </si>
  <si>
    <t xml:space="preserve">11:30-12:30 </t>
  </si>
  <si>
    <t xml:space="preserve">Installed the PSY on Tree 1 </t>
  </si>
  <si>
    <t xml:space="preserve">Leaf water potential (Mpa) </t>
  </si>
  <si>
    <t>00:42:00</t>
  </si>
  <si>
    <t>00:45:00</t>
  </si>
  <si>
    <t>00:50:00</t>
  </si>
  <si>
    <t>00:58:00</t>
  </si>
  <si>
    <t>01:03:00</t>
  </si>
  <si>
    <t>01:07:00</t>
  </si>
  <si>
    <t>01:11:02</t>
  </si>
  <si>
    <t>01:13:03</t>
  </si>
  <si>
    <t>01:18:00</t>
  </si>
  <si>
    <t>02:13:00</t>
  </si>
  <si>
    <t>02:17:00</t>
  </si>
  <si>
    <t>02:21:00</t>
  </si>
  <si>
    <t>02:28:01</t>
  </si>
  <si>
    <t>02:34:02</t>
  </si>
  <si>
    <t>02:38:03</t>
  </si>
  <si>
    <t>02:43:04</t>
  </si>
  <si>
    <t>02:47:05</t>
  </si>
  <si>
    <t>02:51:06</t>
  </si>
  <si>
    <t>04:20:00</t>
  </si>
  <si>
    <t>04:24:00</t>
  </si>
  <si>
    <t>04:28:02</t>
  </si>
  <si>
    <t>04:33:03</t>
  </si>
  <si>
    <t>04:38:04</t>
  </si>
  <si>
    <t>04:48:06</t>
  </si>
  <si>
    <t>13:04:00</t>
  </si>
  <si>
    <t>04:53:00</t>
  </si>
  <si>
    <t>04:50:00</t>
  </si>
  <si>
    <t>04:43:00</t>
  </si>
  <si>
    <t>13:08:00</t>
  </si>
  <si>
    <t>13:11:02</t>
  </si>
  <si>
    <t>13:15:03</t>
  </si>
  <si>
    <t>13:20:04</t>
  </si>
  <si>
    <t>13:23:00</t>
  </si>
  <si>
    <t>13:26:00</t>
  </si>
  <si>
    <t>13:29:00</t>
  </si>
  <si>
    <t>13:31:00</t>
  </si>
  <si>
    <t>Leaf WP (MPa)</t>
  </si>
  <si>
    <t>Branch WP (MPa)</t>
  </si>
  <si>
    <t xml:space="preserve">Average by time period difference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</si>
</sst>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h:mm:ss\ AM/PM"/>
  </numFmts>
  <fonts count="2" x14ac:knownFonts="1">
    <font>
      <sz val="10"/>
      <name val="Arial"/>
      <family val="2"/>
      <charset val="1"/>
    </font>
    <font>
      <sz val="8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5E8AC7"/>
        <bgColor rgb="FF666699"/>
      </patternFill>
    </fill>
    <fill>
      <patternFill patternType="solid">
        <fgColor rgb="FFFFF450"/>
        <bgColor rgb="FFFFF200"/>
      </patternFill>
    </fill>
    <fill>
      <patternFill patternType="solid">
        <fgColor rgb="FFFFF200"/>
        <bgColor rgb="FFFFFF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rgb="FF993366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49" fontId="0" fillId="2" borderId="0" xfId="0" applyNumberFormat="1" applyFill="1"/>
    <xf numFmtId="0" fontId="0" fillId="2" borderId="0" xfId="0" applyFill="1"/>
    <xf numFmtId="164" fontId="0" fillId="2" borderId="0" xfId="0" applyNumberFormat="1" applyFill="1"/>
    <xf numFmtId="49" fontId="0" fillId="0" borderId="0" xfId="0" applyNumberFormat="1"/>
    <xf numFmtId="49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49" fontId="0" fillId="5" borderId="0" xfId="0" applyNumberFormat="1" applyFill="1"/>
    <xf numFmtId="0" fontId="0" fillId="5" borderId="0" xfId="0" applyFill="1"/>
    <xf numFmtId="0" fontId="0" fillId="6" borderId="0" xfId="0" applyFill="1"/>
    <xf numFmtId="164" fontId="0" fillId="5" borderId="0" xfId="0" applyNumberFormat="1" applyFill="1"/>
    <xf numFmtId="49" fontId="0" fillId="7" borderId="0" xfId="0" applyNumberFormat="1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71136"/>
      <rgbColor rgb="FF808000"/>
      <rgbColor rgb="FF800080"/>
      <rgbColor rgb="FF008080"/>
      <rgbColor rgb="FFB3B3B3"/>
      <rgbColor rgb="FF5E8AC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45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5C2D91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Leaf!$L$4:$L$30</c:f>
              <c:strCache>
                <c:ptCount val="27"/>
                <c:pt idx="0">
                  <c:v>00:30:00</c:v>
                </c:pt>
                <c:pt idx="1">
                  <c:v>01:00:00</c:v>
                </c:pt>
                <c:pt idx="2">
                  <c:v>01:30:00</c:v>
                </c:pt>
                <c:pt idx="3">
                  <c:v>02:00:00</c:v>
                </c:pt>
                <c:pt idx="4">
                  <c:v>02:30:00</c:v>
                </c:pt>
                <c:pt idx="5">
                  <c:v>03:00:00</c:v>
                </c:pt>
                <c:pt idx="6">
                  <c:v>03:30:00</c:v>
                </c:pt>
                <c:pt idx="7">
                  <c:v>04:00:00</c:v>
                </c:pt>
                <c:pt idx="8">
                  <c:v>04:30:00</c:v>
                </c:pt>
                <c:pt idx="9">
                  <c:v>05:00:00</c:v>
                </c:pt>
                <c:pt idx="10">
                  <c:v>05:30:00</c:v>
                </c:pt>
                <c:pt idx="11">
                  <c:v>06:00:00</c:v>
                </c:pt>
                <c:pt idx="12">
                  <c:v>06:30:01</c:v>
                </c:pt>
                <c:pt idx="13">
                  <c:v>07:00:00</c:v>
                </c:pt>
                <c:pt idx="14">
                  <c:v>07:30:00</c:v>
                </c:pt>
                <c:pt idx="15">
                  <c:v>08:00:00</c:v>
                </c:pt>
                <c:pt idx="16">
                  <c:v>08:30:00</c:v>
                </c:pt>
                <c:pt idx="17">
                  <c:v>09:00:00</c:v>
                </c:pt>
                <c:pt idx="18">
                  <c:v>09:30:00</c:v>
                </c:pt>
                <c:pt idx="19">
                  <c:v>10:00:00</c:v>
                </c:pt>
                <c:pt idx="20">
                  <c:v>10:30:00</c:v>
                </c:pt>
                <c:pt idx="21">
                  <c:v>11:00:00</c:v>
                </c:pt>
                <c:pt idx="22">
                  <c:v>11:30:00</c:v>
                </c:pt>
                <c:pt idx="23">
                  <c:v>12:00:00</c:v>
                </c:pt>
                <c:pt idx="24">
                  <c:v>12:30:00</c:v>
                </c:pt>
                <c:pt idx="25">
                  <c:v>13:00:00</c:v>
                </c:pt>
                <c:pt idx="26">
                  <c:v>13:30:00</c:v>
                </c:pt>
              </c:strCache>
            </c:strRef>
          </c:cat>
          <c:val>
            <c:numRef>
              <c:f>Leaf!$M$4:$M$30</c:f>
              <c:numCache>
                <c:formatCode>General</c:formatCode>
                <c:ptCount val="27"/>
                <c:pt idx="0">
                  <c:v>-0.25</c:v>
                </c:pt>
                <c:pt idx="1">
                  <c:v>-0.51</c:v>
                </c:pt>
                <c:pt idx="2">
                  <c:v>-1.04</c:v>
                </c:pt>
                <c:pt idx="3">
                  <c:v>-1.1599999999999999</c:v>
                </c:pt>
                <c:pt idx="4">
                  <c:v>-0.95</c:v>
                </c:pt>
                <c:pt idx="5">
                  <c:v>-0.62</c:v>
                </c:pt>
                <c:pt idx="6">
                  <c:v>-0.91</c:v>
                </c:pt>
                <c:pt idx="7">
                  <c:v>-0.69</c:v>
                </c:pt>
                <c:pt idx="8">
                  <c:v>-0.69</c:v>
                </c:pt>
                <c:pt idx="9">
                  <c:v>-0.62</c:v>
                </c:pt>
                <c:pt idx="10">
                  <c:v>-0.62</c:v>
                </c:pt>
                <c:pt idx="11">
                  <c:v>-0.6</c:v>
                </c:pt>
                <c:pt idx="12">
                  <c:v>-0.65</c:v>
                </c:pt>
                <c:pt idx="13">
                  <c:v>-0.66</c:v>
                </c:pt>
                <c:pt idx="14">
                  <c:v>-0.65</c:v>
                </c:pt>
                <c:pt idx="15">
                  <c:v>-0.84</c:v>
                </c:pt>
                <c:pt idx="16">
                  <c:v>-0.95</c:v>
                </c:pt>
                <c:pt idx="17">
                  <c:v>-1.39</c:v>
                </c:pt>
                <c:pt idx="18">
                  <c:v>-1.69</c:v>
                </c:pt>
                <c:pt idx="19">
                  <c:v>-1.8</c:v>
                </c:pt>
                <c:pt idx="20">
                  <c:v>-2.29</c:v>
                </c:pt>
                <c:pt idx="21">
                  <c:v>-2.16</c:v>
                </c:pt>
                <c:pt idx="22">
                  <c:v>-2.0499999999999998</c:v>
                </c:pt>
                <c:pt idx="23">
                  <c:v>-2.0099999999999998</c:v>
                </c:pt>
                <c:pt idx="24">
                  <c:v>-2.09</c:v>
                </c:pt>
                <c:pt idx="25">
                  <c:v>-2.14</c:v>
                </c:pt>
                <c:pt idx="26">
                  <c:v>-2.44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26-C14D-9A8E-62975DCAB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3670464"/>
        <c:axId val="1803672176"/>
      </c:lineChart>
      <c:catAx>
        <c:axId val="180367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2176"/>
        <c:crosses val="autoZero"/>
        <c:auto val="1"/>
        <c:lblAlgn val="ctr"/>
        <c:lblOffset val="100"/>
        <c:noMultiLvlLbl val="0"/>
      </c:catAx>
      <c:valAx>
        <c:axId val="180367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67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Leaf!$L$33</c:f>
              <c:strCache>
                <c:ptCount val="1"/>
                <c:pt idx="0">
                  <c:v>Branch WP (MPa)</c:v>
                </c:pt>
              </c:strCache>
            </c:strRef>
          </c:tx>
          <c:spPr>
            <a:ln w="15875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Leaf!$J$34:$J$96</c:f>
              <c:strCache>
                <c:ptCount val="63"/>
                <c:pt idx="0">
                  <c:v>00:30:00</c:v>
                </c:pt>
                <c:pt idx="1">
                  <c:v>00:42:00</c:v>
                </c:pt>
                <c:pt idx="2">
                  <c:v>00:45:00</c:v>
                </c:pt>
                <c:pt idx="3">
                  <c:v>00:50:00</c:v>
                </c:pt>
                <c:pt idx="4">
                  <c:v>00:58:00</c:v>
                </c:pt>
                <c:pt idx="5">
                  <c:v>01:00:00</c:v>
                </c:pt>
                <c:pt idx="6">
                  <c:v>01:03:00</c:v>
                </c:pt>
                <c:pt idx="7">
                  <c:v>01:07:00</c:v>
                </c:pt>
                <c:pt idx="8">
                  <c:v>01:11:02</c:v>
                </c:pt>
                <c:pt idx="9">
                  <c:v>01:13:03</c:v>
                </c:pt>
                <c:pt idx="10">
                  <c:v>01:18:00</c:v>
                </c:pt>
                <c:pt idx="11">
                  <c:v>01:30:00</c:v>
                </c:pt>
                <c:pt idx="12">
                  <c:v>02:00:00</c:v>
                </c:pt>
                <c:pt idx="13">
                  <c:v>02:13:00</c:v>
                </c:pt>
                <c:pt idx="14">
                  <c:v>02:17:00</c:v>
                </c:pt>
                <c:pt idx="15">
                  <c:v>02:21:00</c:v>
                </c:pt>
                <c:pt idx="16">
                  <c:v>02:28:01</c:v>
                </c:pt>
                <c:pt idx="17">
                  <c:v>02:30:00</c:v>
                </c:pt>
                <c:pt idx="18">
                  <c:v>02:34:02</c:v>
                </c:pt>
                <c:pt idx="19">
                  <c:v>02:38:03</c:v>
                </c:pt>
                <c:pt idx="20">
                  <c:v>02:43:04</c:v>
                </c:pt>
                <c:pt idx="21">
                  <c:v>02:47:05</c:v>
                </c:pt>
                <c:pt idx="22">
                  <c:v>02:51:06</c:v>
                </c:pt>
                <c:pt idx="23">
                  <c:v>03:00:00</c:v>
                </c:pt>
                <c:pt idx="24">
                  <c:v>03:30:00</c:v>
                </c:pt>
                <c:pt idx="25">
                  <c:v>04:00:00</c:v>
                </c:pt>
                <c:pt idx="26">
                  <c:v>04:20:00</c:v>
                </c:pt>
                <c:pt idx="27">
                  <c:v>04:24:00</c:v>
                </c:pt>
                <c:pt idx="28">
                  <c:v>04:28:02</c:v>
                </c:pt>
                <c:pt idx="29">
                  <c:v>04:30:00</c:v>
                </c:pt>
                <c:pt idx="30">
                  <c:v>04:33:03</c:v>
                </c:pt>
                <c:pt idx="31">
                  <c:v>04:38:04</c:v>
                </c:pt>
                <c:pt idx="32">
                  <c:v>04:43:00</c:v>
                </c:pt>
                <c:pt idx="33">
                  <c:v>04:48:06</c:v>
                </c:pt>
                <c:pt idx="34">
                  <c:v>04:50:00</c:v>
                </c:pt>
                <c:pt idx="35">
                  <c:v>04:53:00</c:v>
                </c:pt>
                <c:pt idx="36">
                  <c:v>05:00:00</c:v>
                </c:pt>
                <c:pt idx="37">
                  <c:v>05:30:00</c:v>
                </c:pt>
                <c:pt idx="38">
                  <c:v>06:00:00</c:v>
                </c:pt>
                <c:pt idx="39">
                  <c:v>06:30:01</c:v>
                </c:pt>
                <c:pt idx="40">
                  <c:v>07:00:00</c:v>
                </c:pt>
                <c:pt idx="41">
                  <c:v>07:30:00</c:v>
                </c:pt>
                <c:pt idx="42">
                  <c:v>08:00:00</c:v>
                </c:pt>
                <c:pt idx="43">
                  <c:v>08:30:00</c:v>
                </c:pt>
                <c:pt idx="44">
                  <c:v>09:00:00</c:v>
                </c:pt>
                <c:pt idx="45">
                  <c:v>09:30:00</c:v>
                </c:pt>
                <c:pt idx="46">
                  <c:v>10:00:00</c:v>
                </c:pt>
                <c:pt idx="47">
                  <c:v>10:30:00</c:v>
                </c:pt>
                <c:pt idx="48">
                  <c:v>11:00:00</c:v>
                </c:pt>
                <c:pt idx="49">
                  <c:v>11:30:00</c:v>
                </c:pt>
                <c:pt idx="50">
                  <c:v>12:00:00</c:v>
                </c:pt>
                <c:pt idx="51">
                  <c:v>12:30:00</c:v>
                </c:pt>
                <c:pt idx="52">
                  <c:v>13:00:00</c:v>
                </c:pt>
                <c:pt idx="53">
                  <c:v>13:04:00</c:v>
                </c:pt>
                <c:pt idx="54">
                  <c:v>13:08:00</c:v>
                </c:pt>
                <c:pt idx="55">
                  <c:v>13:11:02</c:v>
                </c:pt>
                <c:pt idx="56">
                  <c:v>13:15:03</c:v>
                </c:pt>
                <c:pt idx="57">
                  <c:v>13:20:04</c:v>
                </c:pt>
                <c:pt idx="58">
                  <c:v>13:23:00</c:v>
                </c:pt>
                <c:pt idx="59">
                  <c:v>13:26:00</c:v>
                </c:pt>
                <c:pt idx="60">
                  <c:v>13:29:00</c:v>
                </c:pt>
                <c:pt idx="61">
                  <c:v>13:30:00</c:v>
                </c:pt>
                <c:pt idx="62">
                  <c:v>13:31:00</c:v>
                </c:pt>
              </c:strCache>
            </c:strRef>
          </c:cat>
          <c:val>
            <c:numRef>
              <c:f>Leaf!$L$34:$L$96</c:f>
              <c:numCache>
                <c:formatCode>General</c:formatCode>
                <c:ptCount val="63"/>
                <c:pt idx="0">
                  <c:v>-0.25</c:v>
                </c:pt>
                <c:pt idx="1">
                  <c:v>-0.3</c:v>
                </c:pt>
                <c:pt idx="2">
                  <c:v>-0.4</c:v>
                </c:pt>
                <c:pt idx="3">
                  <c:v>-0.45</c:v>
                </c:pt>
                <c:pt idx="4">
                  <c:v>-0.5</c:v>
                </c:pt>
                <c:pt idx="5">
                  <c:v>-0.51</c:v>
                </c:pt>
                <c:pt idx="6">
                  <c:v>-0.65</c:v>
                </c:pt>
                <c:pt idx="7">
                  <c:v>-0.7</c:v>
                </c:pt>
                <c:pt idx="8">
                  <c:v>-0.75</c:v>
                </c:pt>
                <c:pt idx="9">
                  <c:v>-0.8</c:v>
                </c:pt>
                <c:pt idx="10">
                  <c:v>-0.9</c:v>
                </c:pt>
                <c:pt idx="11">
                  <c:v>-1.04</c:v>
                </c:pt>
                <c:pt idx="12">
                  <c:v>-1.1599999999999999</c:v>
                </c:pt>
                <c:pt idx="13">
                  <c:v>-1.1599999999999999</c:v>
                </c:pt>
                <c:pt idx="14">
                  <c:v>-1.1599999999999999</c:v>
                </c:pt>
                <c:pt idx="15">
                  <c:v>-1.1599999999999999</c:v>
                </c:pt>
                <c:pt idx="16">
                  <c:v>-1.1599999999999999</c:v>
                </c:pt>
                <c:pt idx="17">
                  <c:v>-0.95</c:v>
                </c:pt>
                <c:pt idx="18">
                  <c:v>-0.95</c:v>
                </c:pt>
                <c:pt idx="19">
                  <c:v>-0.95</c:v>
                </c:pt>
                <c:pt idx="20">
                  <c:v>-0.95</c:v>
                </c:pt>
                <c:pt idx="21">
                  <c:v>-0.95</c:v>
                </c:pt>
                <c:pt idx="22">
                  <c:v>-0.95</c:v>
                </c:pt>
                <c:pt idx="23">
                  <c:v>-0.62</c:v>
                </c:pt>
                <c:pt idx="24">
                  <c:v>-0.91</c:v>
                </c:pt>
                <c:pt idx="25">
                  <c:v>-0.69</c:v>
                </c:pt>
                <c:pt idx="26">
                  <c:v>-0.69</c:v>
                </c:pt>
                <c:pt idx="27">
                  <c:v>-0.69</c:v>
                </c:pt>
                <c:pt idx="28">
                  <c:v>-0.69</c:v>
                </c:pt>
                <c:pt idx="29">
                  <c:v>-0.69</c:v>
                </c:pt>
                <c:pt idx="30">
                  <c:v>-0.69</c:v>
                </c:pt>
                <c:pt idx="31">
                  <c:v>-0.69</c:v>
                </c:pt>
                <c:pt idx="32">
                  <c:v>-0.69</c:v>
                </c:pt>
                <c:pt idx="33">
                  <c:v>-0.69</c:v>
                </c:pt>
                <c:pt idx="34">
                  <c:v>-0.69</c:v>
                </c:pt>
                <c:pt idx="35">
                  <c:v>-0.69</c:v>
                </c:pt>
                <c:pt idx="36">
                  <c:v>-0.62</c:v>
                </c:pt>
                <c:pt idx="37">
                  <c:v>-0.62</c:v>
                </c:pt>
                <c:pt idx="38">
                  <c:v>-0.6</c:v>
                </c:pt>
                <c:pt idx="39">
                  <c:v>-0.65</c:v>
                </c:pt>
                <c:pt idx="40">
                  <c:v>-0.66</c:v>
                </c:pt>
                <c:pt idx="41">
                  <c:v>-0.65</c:v>
                </c:pt>
                <c:pt idx="42">
                  <c:v>-0.84</c:v>
                </c:pt>
                <c:pt idx="43">
                  <c:v>-0.95</c:v>
                </c:pt>
                <c:pt idx="44">
                  <c:v>-1.39</c:v>
                </c:pt>
                <c:pt idx="45">
                  <c:v>-1.69</c:v>
                </c:pt>
                <c:pt idx="46">
                  <c:v>-1.8</c:v>
                </c:pt>
                <c:pt idx="47">
                  <c:v>-2.29</c:v>
                </c:pt>
                <c:pt idx="48">
                  <c:v>-2.16</c:v>
                </c:pt>
                <c:pt idx="49">
                  <c:v>-2.0499999999999998</c:v>
                </c:pt>
                <c:pt idx="50">
                  <c:v>-2.0099999999999998</c:v>
                </c:pt>
                <c:pt idx="51">
                  <c:v>-2.09</c:v>
                </c:pt>
                <c:pt idx="52">
                  <c:v>-2.14</c:v>
                </c:pt>
                <c:pt idx="53">
                  <c:v>-2.14</c:v>
                </c:pt>
                <c:pt idx="54">
                  <c:v>-2.14</c:v>
                </c:pt>
                <c:pt idx="55">
                  <c:v>-2.14</c:v>
                </c:pt>
                <c:pt idx="56">
                  <c:v>-2.14</c:v>
                </c:pt>
                <c:pt idx="57">
                  <c:v>-2.14</c:v>
                </c:pt>
                <c:pt idx="58">
                  <c:v>-2.14</c:v>
                </c:pt>
                <c:pt idx="59">
                  <c:v>-2.14</c:v>
                </c:pt>
                <c:pt idx="60">
                  <c:v>-2.14</c:v>
                </c:pt>
                <c:pt idx="61">
                  <c:v>-2.44</c:v>
                </c:pt>
                <c:pt idx="62">
                  <c:v>-2.44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5C-7148-A568-18C3B2A88C74}"/>
            </c:ext>
          </c:extLst>
        </c:ser>
        <c:ser>
          <c:idx val="1"/>
          <c:order val="1"/>
          <c:tx>
            <c:strRef>
              <c:f>Leaf!$K$33</c:f>
              <c:strCache>
                <c:ptCount val="1"/>
                <c:pt idx="0">
                  <c:v>Leaf WP (MPa)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val>
            <c:numRef>
              <c:f>Leaf!$K$34:$K$96</c:f>
              <c:numCache>
                <c:formatCode>General</c:formatCode>
                <c:ptCount val="63"/>
                <c:pt idx="1">
                  <c:v>-1.62</c:v>
                </c:pt>
                <c:pt idx="2">
                  <c:v>-1.41</c:v>
                </c:pt>
                <c:pt idx="3">
                  <c:v>-1.45</c:v>
                </c:pt>
                <c:pt idx="4">
                  <c:v>-1.1579999999999999</c:v>
                </c:pt>
                <c:pt idx="6">
                  <c:v>-1.157</c:v>
                </c:pt>
                <c:pt idx="7">
                  <c:v>-1.1599999999999999</c:v>
                </c:pt>
                <c:pt idx="8">
                  <c:v>-1.28</c:v>
                </c:pt>
                <c:pt idx="9">
                  <c:v>-1.32</c:v>
                </c:pt>
                <c:pt idx="10">
                  <c:v>-1.19</c:v>
                </c:pt>
                <c:pt idx="13">
                  <c:v>-1.349</c:v>
                </c:pt>
                <c:pt idx="14">
                  <c:v>-1.45</c:v>
                </c:pt>
                <c:pt idx="15">
                  <c:v>-1.61</c:v>
                </c:pt>
                <c:pt idx="16">
                  <c:v>-0.85</c:v>
                </c:pt>
                <c:pt idx="18">
                  <c:v>-0.85</c:v>
                </c:pt>
                <c:pt idx="19">
                  <c:v>-0.98</c:v>
                </c:pt>
                <c:pt idx="20">
                  <c:v>-1.1000000000000001</c:v>
                </c:pt>
                <c:pt idx="21">
                  <c:v>-1.1200000000000001</c:v>
                </c:pt>
                <c:pt idx="22">
                  <c:v>-1.1970000000000001</c:v>
                </c:pt>
                <c:pt idx="26">
                  <c:v>-1.53</c:v>
                </c:pt>
                <c:pt idx="27">
                  <c:v>-1.43</c:v>
                </c:pt>
                <c:pt idx="28">
                  <c:v>-1.478</c:v>
                </c:pt>
                <c:pt idx="30">
                  <c:v>-0.85</c:v>
                </c:pt>
                <c:pt idx="31">
                  <c:v>-0.91200000000000003</c:v>
                </c:pt>
                <c:pt idx="32">
                  <c:v>-1.19</c:v>
                </c:pt>
                <c:pt idx="33">
                  <c:v>-1.002</c:v>
                </c:pt>
                <c:pt idx="34">
                  <c:v>-1.1200000000000001</c:v>
                </c:pt>
                <c:pt idx="35">
                  <c:v>-1.01</c:v>
                </c:pt>
                <c:pt idx="53">
                  <c:v>-1.94</c:v>
                </c:pt>
                <c:pt idx="54">
                  <c:v>-1.86</c:v>
                </c:pt>
                <c:pt idx="55">
                  <c:v>-1.83</c:v>
                </c:pt>
                <c:pt idx="56">
                  <c:v>-1.65</c:v>
                </c:pt>
                <c:pt idx="57">
                  <c:v>-1.61</c:v>
                </c:pt>
                <c:pt idx="58">
                  <c:v>-1.54</c:v>
                </c:pt>
                <c:pt idx="59">
                  <c:v>-2.06</c:v>
                </c:pt>
                <c:pt idx="60">
                  <c:v>-1.96</c:v>
                </c:pt>
                <c:pt idx="62">
                  <c:v>-1.94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5C-7148-A568-18C3B2A88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1518912"/>
        <c:axId val="1739066144"/>
      </c:lineChart>
      <c:catAx>
        <c:axId val="28151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066144"/>
        <c:crosses val="autoZero"/>
        <c:auto val="1"/>
        <c:lblAlgn val="ctr"/>
        <c:lblOffset val="100"/>
        <c:noMultiLvlLbl val="0"/>
      </c:catAx>
      <c:valAx>
        <c:axId val="173906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51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PSY!$F$17:$F$43</c:f>
              <c:numCache>
                <c:formatCode>General</c:formatCode>
                <c:ptCount val="27"/>
                <c:pt idx="0">
                  <c:v>-0.25</c:v>
                </c:pt>
                <c:pt idx="1">
                  <c:v>-0.51</c:v>
                </c:pt>
                <c:pt idx="2">
                  <c:v>-1.04</c:v>
                </c:pt>
                <c:pt idx="3">
                  <c:v>-1.1599999999999999</c:v>
                </c:pt>
                <c:pt idx="4">
                  <c:v>-0.95</c:v>
                </c:pt>
                <c:pt idx="5">
                  <c:v>-0.62</c:v>
                </c:pt>
                <c:pt idx="6">
                  <c:v>-0.91</c:v>
                </c:pt>
                <c:pt idx="7">
                  <c:v>-0.69</c:v>
                </c:pt>
                <c:pt idx="8">
                  <c:v>-0.69</c:v>
                </c:pt>
                <c:pt idx="9">
                  <c:v>-0.62</c:v>
                </c:pt>
                <c:pt idx="10">
                  <c:v>-0.62</c:v>
                </c:pt>
                <c:pt idx="11">
                  <c:v>-0.6</c:v>
                </c:pt>
                <c:pt idx="12">
                  <c:v>-0.65</c:v>
                </c:pt>
                <c:pt idx="13">
                  <c:v>-0.66</c:v>
                </c:pt>
                <c:pt idx="14">
                  <c:v>-0.65</c:v>
                </c:pt>
                <c:pt idx="15">
                  <c:v>-0.84</c:v>
                </c:pt>
                <c:pt idx="16">
                  <c:v>-0.95</c:v>
                </c:pt>
                <c:pt idx="17">
                  <c:v>-1.39</c:v>
                </c:pt>
                <c:pt idx="18">
                  <c:v>-1.69</c:v>
                </c:pt>
                <c:pt idx="19">
                  <c:v>-1.8</c:v>
                </c:pt>
                <c:pt idx="20">
                  <c:v>-2.29</c:v>
                </c:pt>
                <c:pt idx="21">
                  <c:v>-2.16</c:v>
                </c:pt>
                <c:pt idx="22">
                  <c:v>-2.0499999999999998</c:v>
                </c:pt>
                <c:pt idx="23">
                  <c:v>-2.0099999999999998</c:v>
                </c:pt>
                <c:pt idx="24">
                  <c:v>-2.09</c:v>
                </c:pt>
                <c:pt idx="25">
                  <c:v>-2.14</c:v>
                </c:pt>
                <c:pt idx="26">
                  <c:v>-2.44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4-124E-8B1E-EB7C18365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>
              <a:noFill/>
            </a:ln>
          </c:spPr>
        </c:hiLowLines>
        <c:smooth val="0"/>
        <c:axId val="96637601"/>
        <c:axId val="94574368"/>
      </c:lineChart>
      <c:catAx>
        <c:axId val="966376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4574368"/>
        <c:crosses val="autoZero"/>
        <c:auto val="1"/>
        <c:lblAlgn val="ctr"/>
        <c:lblOffset val="100"/>
        <c:noMultiLvlLbl val="0"/>
      </c:catAx>
      <c:valAx>
        <c:axId val="94574368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en-US"/>
          </a:p>
        </c:txPr>
        <c:crossAx val="96637601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sz="1000" b="0" strike="noStrike" spc="-1"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958851</xdr:colOff>
      <xdr:row>61</xdr:row>
      <xdr:rowOff>1057</xdr:rowOff>
    </xdr:from>
    <xdr:to>
      <xdr:col>18</xdr:col>
      <xdr:colOff>846668</xdr:colOff>
      <xdr:row>77</xdr:row>
      <xdr:rowOff>34924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CAC7EB-3D83-A16B-59B0-311A3E93D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254000</xdr:colOff>
      <xdr:row>31</xdr:row>
      <xdr:rowOff>125940</xdr:rowOff>
    </xdr:from>
    <xdr:to>
      <xdr:col>20</xdr:col>
      <xdr:colOff>859366</xdr:colOff>
      <xdr:row>55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EBBF35-30D3-AE62-46E5-C72F322D7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276670</xdr:colOff>
      <xdr:row>16</xdr:row>
      <xdr:rowOff>36000</xdr:rowOff>
    </xdr:from>
    <xdr:to>
      <xdr:col>15</xdr:col>
      <xdr:colOff>392623</xdr:colOff>
      <xdr:row>36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6"/>
  <sheetViews>
    <sheetView tabSelected="1" topLeftCell="K23" zoomScaleNormal="120" workbookViewId="0">
      <selection activeCell="S61" sqref="S61"/>
    </sheetView>
  </sheetViews>
  <sheetFormatPr baseColWidth="10" defaultColWidth="11.5" defaultRowHeight="13" x14ac:dyDescent="0.15"/>
  <cols>
    <col min="5" max="5" width="22.5" customWidth="1"/>
    <col min="6" max="6" width="16.1640625" customWidth="1"/>
    <col min="7" max="7" width="11.5" style="1"/>
    <col min="9" max="9" width="17.6640625" customWidth="1"/>
    <col min="10" max="10" width="18.83203125" customWidth="1"/>
    <col min="11" max="11" width="16.1640625" customWidth="1"/>
    <col min="12" max="12" width="14.83203125" customWidth="1"/>
    <col min="13" max="13" width="27.5" customWidth="1"/>
    <col min="14" max="14" width="12.6640625" customWidth="1"/>
    <col min="15" max="15" width="16.1640625" customWidth="1"/>
    <col min="16" max="16" width="9.6640625" customWidth="1"/>
  </cols>
  <sheetData>
    <row r="1" spans="1:21" x14ac:dyDescent="0.15">
      <c r="A1" t="s">
        <v>0</v>
      </c>
    </row>
    <row r="2" spans="1:21" x14ac:dyDescent="0.15">
      <c r="A2" t="s">
        <v>1</v>
      </c>
      <c r="C2" t="s">
        <v>2</v>
      </c>
      <c r="D2" t="s">
        <v>3</v>
      </c>
      <c r="E2" t="s">
        <v>92</v>
      </c>
      <c r="F2" t="s">
        <v>4</v>
      </c>
      <c r="G2" s="1" t="s">
        <v>5</v>
      </c>
      <c r="I2" t="s">
        <v>6</v>
      </c>
      <c r="L2" t="s">
        <v>7</v>
      </c>
    </row>
    <row r="3" spans="1:21" x14ac:dyDescent="0.15">
      <c r="A3" s="2">
        <v>2.9166666666666698E-2</v>
      </c>
      <c r="B3" s="16" t="s">
        <v>93</v>
      </c>
      <c r="C3">
        <v>1</v>
      </c>
      <c r="D3">
        <v>1</v>
      </c>
      <c r="E3">
        <v>-1.62</v>
      </c>
      <c r="F3" s="1">
        <f>AVERAGE(E3:E5)</f>
        <v>-1.4933333333333334</v>
      </c>
      <c r="G3" s="1">
        <f>STDEV(E3:E5)</f>
        <v>0.11150485789118497</v>
      </c>
      <c r="H3" t="s">
        <v>8</v>
      </c>
      <c r="I3">
        <f>AVERAGE(F3,F13,F23)</f>
        <v>-1.4807777777777777</v>
      </c>
      <c r="J3" s="1">
        <f>STDEV(F3,F13,F23)</f>
        <v>1.1899268573849132E-2</v>
      </c>
      <c r="L3" t="s">
        <v>9</v>
      </c>
      <c r="M3" t="s">
        <v>10</v>
      </c>
      <c r="N3" t="s">
        <v>11</v>
      </c>
      <c r="O3" t="s">
        <v>12</v>
      </c>
      <c r="P3" t="s">
        <v>13</v>
      </c>
    </row>
    <row r="4" spans="1:21" x14ac:dyDescent="0.15">
      <c r="A4" s="2">
        <v>3.125E-2</v>
      </c>
      <c r="B4" s="16" t="s">
        <v>94</v>
      </c>
      <c r="C4">
        <v>1</v>
      </c>
      <c r="D4">
        <v>2</v>
      </c>
      <c r="E4">
        <v>-1.41</v>
      </c>
      <c r="F4" s="1"/>
      <c r="H4" t="s">
        <v>14</v>
      </c>
      <c r="I4">
        <f>AVERAGE(F6,F16,F26)</f>
        <v>-1.0118888888888888</v>
      </c>
      <c r="J4" s="1">
        <f>STDEV(F6,F16,F26)</f>
        <v>0.13468330480275822</v>
      </c>
      <c r="L4" s="16" t="s">
        <v>15</v>
      </c>
      <c r="M4" s="17">
        <v>-0.25</v>
      </c>
      <c r="N4" s="18"/>
      <c r="O4" s="18"/>
      <c r="U4" s="7"/>
    </row>
    <row r="5" spans="1:21" x14ac:dyDescent="0.15">
      <c r="A5" s="2">
        <v>3.4722222222222203E-2</v>
      </c>
      <c r="B5" s="16" t="s">
        <v>95</v>
      </c>
      <c r="C5">
        <v>1</v>
      </c>
      <c r="D5">
        <v>3</v>
      </c>
      <c r="E5">
        <v>-1.45</v>
      </c>
      <c r="F5" s="1"/>
      <c r="H5" t="s">
        <v>16</v>
      </c>
      <c r="I5">
        <f>AVERAGE(F9,F19,F29)</f>
        <v>-1.1487777777777779</v>
      </c>
      <c r="J5" s="1">
        <f>STDEV(F9,F19,F29)</f>
        <v>0.10999309742652723</v>
      </c>
      <c r="L5" s="16" t="s">
        <v>17</v>
      </c>
      <c r="M5" s="17">
        <v>-0.51</v>
      </c>
      <c r="N5" s="18"/>
      <c r="O5" s="17" t="s">
        <v>18</v>
      </c>
      <c r="U5" s="7"/>
    </row>
    <row r="6" spans="1:21" x14ac:dyDescent="0.15">
      <c r="A6" s="2">
        <v>4.0277777777777801E-2</v>
      </c>
      <c r="B6" s="16" t="s">
        <v>96</v>
      </c>
      <c r="C6">
        <v>2</v>
      </c>
      <c r="D6">
        <v>1</v>
      </c>
      <c r="E6">
        <v>-1.1579999999999999</v>
      </c>
      <c r="F6" s="1">
        <f>AVERAGE(E6:E8)</f>
        <v>-1.1583333333333332</v>
      </c>
      <c r="G6" s="1">
        <f>STDEV(E6:E8)</f>
        <v>1.5275252316518995E-3</v>
      </c>
      <c r="L6" s="16" t="s">
        <v>19</v>
      </c>
      <c r="M6" s="17">
        <v>-1.04</v>
      </c>
      <c r="N6" s="17">
        <f>AVERAGE(M5:M6)</f>
        <v>-0.77500000000000002</v>
      </c>
      <c r="O6" s="17">
        <f>AVERAGE(F3,F6,F9)*-1</f>
        <v>1.3049999999999999</v>
      </c>
      <c r="P6">
        <f>ABS(N6+O6)</f>
        <v>0.52999999999999992</v>
      </c>
      <c r="R6" t="s">
        <v>20</v>
      </c>
      <c r="U6" s="7"/>
    </row>
    <row r="7" spans="1:21" x14ac:dyDescent="0.15">
      <c r="A7" s="2">
        <v>4.3749999999999997E-2</v>
      </c>
      <c r="B7" s="16" t="s">
        <v>97</v>
      </c>
      <c r="C7">
        <v>2</v>
      </c>
      <c r="D7">
        <v>2</v>
      </c>
      <c r="E7">
        <v>-1.157</v>
      </c>
      <c r="F7" s="1"/>
      <c r="L7" s="12" t="s">
        <v>21</v>
      </c>
      <c r="M7" s="13">
        <v>-1.1599999999999999</v>
      </c>
      <c r="N7" s="14"/>
      <c r="O7" s="14"/>
      <c r="R7" t="s">
        <v>22</v>
      </c>
      <c r="U7" s="7"/>
    </row>
    <row r="8" spans="1:21" x14ac:dyDescent="0.15">
      <c r="A8" s="2">
        <v>4.65277777777778E-2</v>
      </c>
      <c r="B8" s="16" t="s">
        <v>98</v>
      </c>
      <c r="C8">
        <v>2</v>
      </c>
      <c r="D8">
        <v>3</v>
      </c>
      <c r="E8">
        <v>-1.1599999999999999</v>
      </c>
      <c r="F8" s="1"/>
      <c r="L8" s="12" t="s">
        <v>23</v>
      </c>
      <c r="M8" s="13">
        <v>-0.95</v>
      </c>
      <c r="N8" s="14"/>
      <c r="O8" s="14"/>
      <c r="U8" s="7"/>
    </row>
    <row r="9" spans="1:21" x14ac:dyDescent="0.15">
      <c r="A9" s="2">
        <v>4.9305555555555602E-2</v>
      </c>
      <c r="B9" s="16" t="s">
        <v>99</v>
      </c>
      <c r="C9">
        <v>3</v>
      </c>
      <c r="D9">
        <v>1</v>
      </c>
      <c r="E9">
        <v>-1.28</v>
      </c>
      <c r="F9" s="1">
        <f>AVERAGE(E9:E11)</f>
        <v>-1.2633333333333334</v>
      </c>
      <c r="G9" s="1">
        <f>STDEV(E9:E11)</f>
        <v>6.6583281184793994E-2</v>
      </c>
      <c r="L9" s="12" t="s">
        <v>24</v>
      </c>
      <c r="M9" s="13">
        <v>-0.62</v>
      </c>
      <c r="N9" s="14"/>
      <c r="O9" s="13" t="s">
        <v>25</v>
      </c>
      <c r="U9" s="7"/>
    </row>
    <row r="10" spans="1:21" x14ac:dyDescent="0.15">
      <c r="A10" s="2">
        <v>5.0694444444444403E-2</v>
      </c>
      <c r="B10" s="16" t="s">
        <v>100</v>
      </c>
      <c r="C10">
        <v>3</v>
      </c>
      <c r="D10">
        <v>2</v>
      </c>
      <c r="E10">
        <v>-1.32</v>
      </c>
      <c r="F10" s="1"/>
      <c r="L10" s="12" t="s">
        <v>26</v>
      </c>
      <c r="M10" s="13">
        <v>-0.91</v>
      </c>
      <c r="N10" s="13">
        <f>AVERAGE(M7:M10)</f>
        <v>-0.91</v>
      </c>
      <c r="O10" s="15">
        <f>AVERAGE(F13:F19)*-1</f>
        <v>1.1673333333333333</v>
      </c>
      <c r="P10" s="3">
        <f>ABS(N10+O10)</f>
        <v>0.2573333333333333</v>
      </c>
      <c r="U10" s="7"/>
    </row>
    <row r="11" spans="1:21" x14ac:dyDescent="0.15">
      <c r="A11" s="2">
        <v>5.4166666666666703E-2</v>
      </c>
      <c r="B11" s="16" t="s">
        <v>101</v>
      </c>
      <c r="C11">
        <v>3</v>
      </c>
      <c r="D11">
        <v>3</v>
      </c>
      <c r="E11">
        <v>-1.19</v>
      </c>
      <c r="F11" s="1"/>
      <c r="L11" s="4" t="s">
        <v>27</v>
      </c>
      <c r="M11" s="5">
        <v>-0.69</v>
      </c>
      <c r="P11" s="3"/>
      <c r="U11" s="7"/>
    </row>
    <row r="12" spans="1:21" x14ac:dyDescent="0.15">
      <c r="F12" s="1"/>
      <c r="L12" s="4" t="s">
        <v>28</v>
      </c>
      <c r="M12" s="5">
        <v>-0.69</v>
      </c>
      <c r="P12" s="3"/>
      <c r="U12" s="7"/>
    </row>
    <row r="13" spans="1:21" x14ac:dyDescent="0.15">
      <c r="A13" s="2">
        <v>9.2361111111111102E-2</v>
      </c>
      <c r="B13" s="12" t="s">
        <v>102</v>
      </c>
      <c r="C13">
        <v>1</v>
      </c>
      <c r="D13">
        <v>-1</v>
      </c>
      <c r="E13">
        <v>-1.349</v>
      </c>
      <c r="F13" s="1">
        <f>AVERAGE(E13:E15)</f>
        <v>-1.4696666666666667</v>
      </c>
      <c r="G13" s="1">
        <f>STDEV(E13:E15)</f>
        <v>0.13160673741618759</v>
      </c>
      <c r="L13" s="4" t="s">
        <v>29</v>
      </c>
      <c r="M13" s="5">
        <v>-0.62</v>
      </c>
      <c r="O13" s="5" t="s">
        <v>30</v>
      </c>
      <c r="P13" s="3"/>
      <c r="U13" s="7"/>
    </row>
    <row r="14" spans="1:21" x14ac:dyDescent="0.15">
      <c r="A14" s="2">
        <v>9.5138888888888898E-2</v>
      </c>
      <c r="B14" s="12" t="s">
        <v>103</v>
      </c>
      <c r="C14">
        <v>1</v>
      </c>
      <c r="D14">
        <v>2</v>
      </c>
      <c r="E14">
        <v>-1.45</v>
      </c>
      <c r="F14" s="1"/>
      <c r="L14" s="4" t="s">
        <v>31</v>
      </c>
      <c r="M14" s="5">
        <v>-0.62</v>
      </c>
      <c r="N14" s="5">
        <f>AVERAGE(M11:M14)</f>
        <v>-0.65500000000000003</v>
      </c>
      <c r="O14" s="6">
        <f>AVERAGE(F23:F29)*-1</f>
        <v>1.1691111111111108</v>
      </c>
      <c r="P14" s="3">
        <f>ABS(N14+O14)</f>
        <v>0.51411111111111074</v>
      </c>
      <c r="U14" s="7"/>
    </row>
    <row r="15" spans="1:21" x14ac:dyDescent="0.15">
      <c r="A15" s="2">
        <v>9.7916666666666693E-2</v>
      </c>
      <c r="B15" s="12" t="s">
        <v>104</v>
      </c>
      <c r="C15">
        <v>1</v>
      </c>
      <c r="D15">
        <v>3</v>
      </c>
      <c r="E15">
        <v>-1.61</v>
      </c>
      <c r="F15" s="1"/>
      <c r="L15" s="7" t="s">
        <v>32</v>
      </c>
      <c r="M15">
        <v>-0.6</v>
      </c>
      <c r="O15" s="3"/>
      <c r="P15" s="3"/>
      <c r="U15" s="7"/>
    </row>
    <row r="16" spans="1:21" x14ac:dyDescent="0.15">
      <c r="A16" s="2">
        <v>0.102777777777778</v>
      </c>
      <c r="B16" s="12" t="s">
        <v>105</v>
      </c>
      <c r="C16">
        <v>2</v>
      </c>
      <c r="D16">
        <v>1</v>
      </c>
      <c r="E16">
        <v>-0.85</v>
      </c>
      <c r="F16" s="1">
        <f>AVERAGE(E16:E18)</f>
        <v>-0.8933333333333332</v>
      </c>
      <c r="G16" s="1">
        <f>STDEV(E16:E18)</f>
        <v>7.5055534994651354E-2</v>
      </c>
      <c r="L16" s="7" t="s">
        <v>33</v>
      </c>
      <c r="M16">
        <v>-0.65</v>
      </c>
      <c r="O16" s="3"/>
      <c r="P16" s="3"/>
      <c r="U16" s="7"/>
    </row>
    <row r="17" spans="1:21" x14ac:dyDescent="0.15">
      <c r="A17" s="2">
        <v>0.106944444444444</v>
      </c>
      <c r="B17" s="12" t="s">
        <v>106</v>
      </c>
      <c r="C17">
        <v>2</v>
      </c>
      <c r="D17">
        <v>2</v>
      </c>
      <c r="E17">
        <v>-0.85</v>
      </c>
      <c r="F17" s="1"/>
      <c r="L17" s="7" t="s">
        <v>34</v>
      </c>
      <c r="M17">
        <v>-0.66</v>
      </c>
      <c r="O17" s="3"/>
      <c r="P17" s="3"/>
      <c r="U17" s="7"/>
    </row>
    <row r="18" spans="1:21" x14ac:dyDescent="0.15">
      <c r="A18" s="2">
        <v>0.109722222222222</v>
      </c>
      <c r="B18" s="12" t="s">
        <v>107</v>
      </c>
      <c r="C18">
        <v>2</v>
      </c>
      <c r="D18">
        <v>3</v>
      </c>
      <c r="E18">
        <v>-0.98</v>
      </c>
      <c r="F18" s="1"/>
      <c r="L18" s="7" t="s">
        <v>35</v>
      </c>
      <c r="M18">
        <v>-0.65</v>
      </c>
      <c r="O18" s="3"/>
      <c r="P18" s="3"/>
      <c r="U18" s="7"/>
    </row>
    <row r="19" spans="1:21" x14ac:dyDescent="0.15">
      <c r="A19" s="2">
        <v>0.113194444444444</v>
      </c>
      <c r="B19" s="12" t="s">
        <v>108</v>
      </c>
      <c r="C19">
        <v>3</v>
      </c>
      <c r="D19">
        <v>1</v>
      </c>
      <c r="E19">
        <v>-1.1000000000000001</v>
      </c>
      <c r="F19" s="1">
        <f>AVERAGE(E19:E21)</f>
        <v>-1.139</v>
      </c>
      <c r="G19" s="1">
        <f>STDEV(E19:E21)</f>
        <v>5.121523210920749E-2</v>
      </c>
      <c r="L19" s="7" t="s">
        <v>36</v>
      </c>
      <c r="M19">
        <v>-0.84</v>
      </c>
      <c r="O19" s="3"/>
      <c r="P19" s="3"/>
      <c r="U19" s="7"/>
    </row>
    <row r="20" spans="1:21" x14ac:dyDescent="0.15">
      <c r="A20" s="2">
        <v>0.115972222222222</v>
      </c>
      <c r="B20" s="12" t="s">
        <v>109</v>
      </c>
      <c r="C20">
        <v>3</v>
      </c>
      <c r="D20">
        <v>2</v>
      </c>
      <c r="E20">
        <v>-1.1200000000000001</v>
      </c>
      <c r="F20" s="1"/>
      <c r="L20" s="7" t="s">
        <v>37</v>
      </c>
      <c r="M20">
        <v>-0.95</v>
      </c>
      <c r="O20" s="3"/>
      <c r="P20" s="3"/>
      <c r="U20" s="7"/>
    </row>
    <row r="21" spans="1:21" x14ac:dyDescent="0.15">
      <c r="A21" s="2">
        <v>0.11874999999999999</v>
      </c>
      <c r="B21" s="12" t="s">
        <v>110</v>
      </c>
      <c r="C21">
        <v>3</v>
      </c>
      <c r="D21">
        <v>3</v>
      </c>
      <c r="E21">
        <v>-1.1970000000000001</v>
      </c>
      <c r="F21" s="1"/>
      <c r="L21" s="7" t="s">
        <v>38</v>
      </c>
      <c r="M21">
        <v>-1.39</v>
      </c>
      <c r="O21" s="3"/>
      <c r="P21" s="3"/>
      <c r="U21" s="7"/>
    </row>
    <row r="22" spans="1:21" x14ac:dyDescent="0.15">
      <c r="B22" s="7"/>
      <c r="F22" s="1"/>
      <c r="L22" s="7" t="s">
        <v>39</v>
      </c>
      <c r="M22">
        <v>-1.69</v>
      </c>
      <c r="O22" s="3"/>
      <c r="P22" s="3"/>
      <c r="U22" s="7"/>
    </row>
    <row r="23" spans="1:21" x14ac:dyDescent="0.15">
      <c r="A23" s="2">
        <v>0.180555555555556</v>
      </c>
      <c r="B23" s="7" t="s">
        <v>111</v>
      </c>
      <c r="C23">
        <v>1</v>
      </c>
      <c r="D23">
        <v>1</v>
      </c>
      <c r="E23">
        <v>-1.53</v>
      </c>
      <c r="F23" s="1">
        <f>AVERAGE(E23:E25)</f>
        <v>-1.4793333333333332</v>
      </c>
      <c r="G23" s="1">
        <f>STDEV(E23:E25)</f>
        <v>5.0013331556029522E-2</v>
      </c>
      <c r="L23" s="7" t="s">
        <v>40</v>
      </c>
      <c r="M23">
        <v>-1.8</v>
      </c>
      <c r="O23" s="3"/>
      <c r="P23" s="3"/>
      <c r="U23" s="7"/>
    </row>
    <row r="24" spans="1:21" x14ac:dyDescent="0.15">
      <c r="A24" s="2">
        <v>0.18333333333333299</v>
      </c>
      <c r="B24" s="7" t="s">
        <v>112</v>
      </c>
      <c r="C24">
        <v>1</v>
      </c>
      <c r="D24">
        <v>2</v>
      </c>
      <c r="E24">
        <v>-1.43</v>
      </c>
      <c r="F24" s="1"/>
      <c r="L24" s="7" t="s">
        <v>41</v>
      </c>
      <c r="M24">
        <v>-2.29</v>
      </c>
      <c r="O24" s="3"/>
      <c r="P24" s="3"/>
      <c r="U24" s="7"/>
    </row>
    <row r="25" spans="1:21" x14ac:dyDescent="0.15">
      <c r="A25" s="2">
        <v>0.18611111111111101</v>
      </c>
      <c r="B25" s="7" t="s">
        <v>113</v>
      </c>
      <c r="C25">
        <v>1</v>
      </c>
      <c r="D25">
        <v>3</v>
      </c>
      <c r="E25">
        <v>-1.478</v>
      </c>
      <c r="F25" s="1"/>
      <c r="L25" s="7" t="s">
        <v>42</v>
      </c>
      <c r="M25">
        <v>-2.16</v>
      </c>
      <c r="O25" s="3"/>
      <c r="P25" s="3"/>
      <c r="U25" s="7"/>
    </row>
    <row r="26" spans="1:21" x14ac:dyDescent="0.15">
      <c r="A26" s="2">
        <v>0.18958333333333299</v>
      </c>
      <c r="B26" s="7" t="s">
        <v>114</v>
      </c>
      <c r="C26">
        <v>2</v>
      </c>
      <c r="D26">
        <v>1</v>
      </c>
      <c r="E26">
        <v>-0.85</v>
      </c>
      <c r="F26" s="1">
        <f>AVERAGE(E26:E28)</f>
        <v>-0.98399999999999999</v>
      </c>
      <c r="G26" s="1">
        <f>STDEV(E26:E28)</f>
        <v>0.18107457027423762</v>
      </c>
      <c r="L26" s="7" t="s">
        <v>43</v>
      </c>
      <c r="M26">
        <v>-2.0499999999999998</v>
      </c>
      <c r="P26" s="3"/>
      <c r="U26" s="7"/>
    </row>
    <row r="27" spans="1:21" x14ac:dyDescent="0.15">
      <c r="A27" s="2">
        <v>0.19305555555555601</v>
      </c>
      <c r="B27" s="7" t="s">
        <v>115</v>
      </c>
      <c r="C27">
        <v>2</v>
      </c>
      <c r="D27">
        <v>2</v>
      </c>
      <c r="E27">
        <v>-0.91200000000000003</v>
      </c>
      <c r="F27" s="1"/>
      <c r="L27" s="8" t="s">
        <v>44</v>
      </c>
      <c r="M27" s="9">
        <v>-2.0099999999999998</v>
      </c>
      <c r="P27" s="3"/>
      <c r="U27" s="7"/>
    </row>
    <row r="28" spans="1:21" x14ac:dyDescent="0.15">
      <c r="A28" s="2">
        <v>0.196527777777778</v>
      </c>
      <c r="B28" s="7" t="s">
        <v>120</v>
      </c>
      <c r="C28">
        <v>2</v>
      </c>
      <c r="D28">
        <v>3</v>
      </c>
      <c r="E28">
        <v>-1.19</v>
      </c>
      <c r="F28" s="1"/>
      <c r="L28" s="8" t="s">
        <v>45</v>
      </c>
      <c r="M28" s="9">
        <v>-2.09</v>
      </c>
      <c r="P28" s="3"/>
      <c r="U28" s="7"/>
    </row>
    <row r="29" spans="1:21" x14ac:dyDescent="0.15">
      <c r="A29" s="2">
        <v>0.2</v>
      </c>
      <c r="B29" s="7" t="s">
        <v>116</v>
      </c>
      <c r="C29">
        <v>3</v>
      </c>
      <c r="D29">
        <v>1</v>
      </c>
      <c r="E29">
        <v>-1.002</v>
      </c>
      <c r="F29" s="1">
        <f>AVERAGE(E29:E31)</f>
        <v>-1.0439999999999998</v>
      </c>
      <c r="G29" s="1">
        <f>STDEV(E29:E31)</f>
        <v>6.5939366087338205E-2</v>
      </c>
      <c r="L29" s="8" t="s">
        <v>46</v>
      </c>
      <c r="M29" s="9">
        <v>-2.14</v>
      </c>
      <c r="O29" s="9" t="s">
        <v>47</v>
      </c>
      <c r="P29" s="3"/>
      <c r="U29" s="7"/>
    </row>
    <row r="30" spans="1:21" x14ac:dyDescent="0.15">
      <c r="A30" s="2">
        <v>0.20138888888888901</v>
      </c>
      <c r="B30" s="7" t="s">
        <v>119</v>
      </c>
      <c r="C30">
        <v>3</v>
      </c>
      <c r="D30">
        <v>2</v>
      </c>
      <c r="E30">
        <v>-1.1200000000000001</v>
      </c>
      <c r="F30" s="1"/>
      <c r="L30" s="8" t="s">
        <v>48</v>
      </c>
      <c r="M30" s="9">
        <v>-2.44</v>
      </c>
      <c r="N30" s="9">
        <f>AVERAGE(M27:M30)</f>
        <v>-2.17</v>
      </c>
      <c r="O30" s="10">
        <f>AVERAGE(F33:F39)*-1</f>
        <v>1.8211111111111109</v>
      </c>
      <c r="P30" s="3">
        <f>ABS(N30-O30)</f>
        <v>3.9911111111111106</v>
      </c>
      <c r="U30" s="7"/>
    </row>
    <row r="31" spans="1:21" x14ac:dyDescent="0.15">
      <c r="A31" s="2">
        <v>0.203472222222222</v>
      </c>
      <c r="B31" s="7" t="s">
        <v>118</v>
      </c>
      <c r="C31">
        <v>3</v>
      </c>
      <c r="D31">
        <v>3</v>
      </c>
      <c r="E31">
        <v>-1.01</v>
      </c>
      <c r="F31" s="1"/>
    </row>
    <row r="32" spans="1:21" x14ac:dyDescent="0.15">
      <c r="B32" s="7"/>
      <c r="F32" s="1"/>
    </row>
    <row r="33" spans="1:13" x14ac:dyDescent="0.15">
      <c r="A33" s="2">
        <v>0.54444444444444395</v>
      </c>
      <c r="B33" s="8" t="s">
        <v>117</v>
      </c>
      <c r="C33">
        <v>1</v>
      </c>
      <c r="D33">
        <v>1</v>
      </c>
      <c r="E33">
        <v>-1.94</v>
      </c>
      <c r="F33" s="1">
        <f>AVERAGE(E33:E35)</f>
        <v>-1.8766666666666667</v>
      </c>
      <c r="G33" s="1">
        <f>STDEV(E33:E35)</f>
        <v>5.6862407030773193E-2</v>
      </c>
      <c r="K33" t="s">
        <v>129</v>
      </c>
      <c r="L33" t="s">
        <v>130</v>
      </c>
      <c r="M33" t="s">
        <v>131</v>
      </c>
    </row>
    <row r="34" spans="1:13" x14ac:dyDescent="0.15">
      <c r="A34" s="2">
        <v>0.54722222222222205</v>
      </c>
      <c r="B34" s="8" t="s">
        <v>121</v>
      </c>
      <c r="C34">
        <v>1</v>
      </c>
      <c r="D34">
        <v>2</v>
      </c>
      <c r="E34">
        <v>-1.86</v>
      </c>
      <c r="F34" s="1"/>
      <c r="J34" s="16" t="s">
        <v>15</v>
      </c>
      <c r="L34" s="17">
        <v>-0.25</v>
      </c>
    </row>
    <row r="35" spans="1:13" x14ac:dyDescent="0.15">
      <c r="A35" s="2">
        <v>0.54930555555555605</v>
      </c>
      <c r="B35" s="8" t="s">
        <v>122</v>
      </c>
      <c r="C35">
        <v>1</v>
      </c>
      <c r="D35">
        <v>3</v>
      </c>
      <c r="E35">
        <v>-1.83</v>
      </c>
      <c r="F35" s="1"/>
      <c r="J35" s="16" t="s">
        <v>93</v>
      </c>
      <c r="K35">
        <v>-1.62</v>
      </c>
      <c r="L35" s="17">
        <v>-0.3</v>
      </c>
      <c r="M35">
        <f>ABS(AVERAGE(K35:K38)-AVERAGE(L34:L39))</f>
        <v>1.0078333333333334</v>
      </c>
    </row>
    <row r="36" spans="1:13" x14ac:dyDescent="0.15">
      <c r="A36" s="2">
        <v>0.55208333333333304</v>
      </c>
      <c r="B36" s="8" t="s">
        <v>123</v>
      </c>
      <c r="C36">
        <v>2</v>
      </c>
      <c r="D36">
        <v>1</v>
      </c>
      <c r="E36">
        <v>-1.65</v>
      </c>
      <c r="F36" s="1">
        <f>AVERAGE(E36:E38)</f>
        <v>-1.5999999999999999</v>
      </c>
      <c r="G36" s="1">
        <f>STDEV(E36:E38)</f>
        <v>5.5677643628300168E-2</v>
      </c>
      <c r="J36" s="16" t="s">
        <v>94</v>
      </c>
      <c r="K36">
        <v>-1.41</v>
      </c>
      <c r="L36" s="17">
        <v>-0.4</v>
      </c>
    </row>
    <row r="37" spans="1:13" x14ac:dyDescent="0.15">
      <c r="A37" s="2">
        <v>0.55555555555555602</v>
      </c>
      <c r="B37" s="8" t="s">
        <v>124</v>
      </c>
      <c r="C37">
        <v>2</v>
      </c>
      <c r="D37">
        <v>2</v>
      </c>
      <c r="E37">
        <v>-1.61</v>
      </c>
      <c r="F37" s="1"/>
      <c r="J37" s="16" t="s">
        <v>95</v>
      </c>
      <c r="K37">
        <v>-1.45</v>
      </c>
      <c r="L37" s="17">
        <v>-0.45</v>
      </c>
    </row>
    <row r="38" spans="1:13" x14ac:dyDescent="0.15">
      <c r="A38" s="2">
        <v>0.55763888888888902</v>
      </c>
      <c r="B38" s="8" t="s">
        <v>125</v>
      </c>
      <c r="C38">
        <v>2</v>
      </c>
      <c r="D38">
        <v>3</v>
      </c>
      <c r="E38">
        <v>-1.54</v>
      </c>
      <c r="F38" s="1"/>
      <c r="J38" s="16" t="s">
        <v>96</v>
      </c>
      <c r="K38">
        <v>-1.1579999999999999</v>
      </c>
      <c r="L38" s="17">
        <v>-0.5</v>
      </c>
    </row>
    <row r="39" spans="1:13" x14ac:dyDescent="0.15">
      <c r="A39" s="2">
        <v>0.55972222222222201</v>
      </c>
      <c r="B39" s="8" t="s">
        <v>126</v>
      </c>
      <c r="C39">
        <v>3</v>
      </c>
      <c r="D39">
        <v>1</v>
      </c>
      <c r="E39">
        <v>-2.06</v>
      </c>
      <c r="F39" s="1">
        <f>AVERAGE(E39:E41)</f>
        <v>-1.9866666666666664</v>
      </c>
      <c r="G39" s="1">
        <f>STDEV(E39:E41)</f>
        <v>6.4291005073286431E-2</v>
      </c>
      <c r="J39" s="16" t="s">
        <v>17</v>
      </c>
      <c r="L39" s="17">
        <v>-0.51</v>
      </c>
    </row>
    <row r="40" spans="1:13" x14ac:dyDescent="0.15">
      <c r="A40" s="2">
        <v>0.561805555555556</v>
      </c>
      <c r="B40" s="8" t="s">
        <v>127</v>
      </c>
      <c r="C40">
        <v>3</v>
      </c>
      <c r="D40">
        <v>2</v>
      </c>
      <c r="E40">
        <v>-1.96</v>
      </c>
      <c r="F40" s="1"/>
      <c r="J40" s="16" t="s">
        <v>97</v>
      </c>
      <c r="K40">
        <v>-1.157</v>
      </c>
      <c r="L40" s="17">
        <v>-0.65</v>
      </c>
      <c r="M40">
        <f>ABS(AVERAGE(K40:K44)-AVERAGE(L39:L45))</f>
        <v>0.45711428571428592</v>
      </c>
    </row>
    <row r="41" spans="1:13" x14ac:dyDescent="0.15">
      <c r="A41" s="2">
        <v>0.563194444444444</v>
      </c>
      <c r="B41" s="8" t="s">
        <v>128</v>
      </c>
      <c r="C41">
        <v>3</v>
      </c>
      <c r="D41">
        <v>3</v>
      </c>
      <c r="E41">
        <v>-1.94</v>
      </c>
      <c r="F41" s="1"/>
      <c r="J41" s="16" t="s">
        <v>98</v>
      </c>
      <c r="K41">
        <v>-1.1599999999999999</v>
      </c>
      <c r="L41" s="17">
        <v>-0.7</v>
      </c>
    </row>
    <row r="42" spans="1:13" x14ac:dyDescent="0.15">
      <c r="J42" s="16" t="s">
        <v>99</v>
      </c>
      <c r="K42">
        <v>-1.28</v>
      </c>
      <c r="L42" s="17">
        <v>-0.75</v>
      </c>
    </row>
    <row r="43" spans="1:13" x14ac:dyDescent="0.15">
      <c r="J43" s="16" t="s">
        <v>100</v>
      </c>
      <c r="K43">
        <v>-1.32</v>
      </c>
      <c r="L43" s="17">
        <v>-0.8</v>
      </c>
    </row>
    <row r="44" spans="1:13" x14ac:dyDescent="0.15">
      <c r="J44" s="16" t="s">
        <v>101</v>
      </c>
      <c r="K44">
        <v>-1.19</v>
      </c>
      <c r="L44" s="17">
        <v>-0.9</v>
      </c>
    </row>
    <row r="45" spans="1:13" x14ac:dyDescent="0.15">
      <c r="J45" s="16" t="s">
        <v>19</v>
      </c>
      <c r="L45" s="17">
        <v>-1.04</v>
      </c>
    </row>
    <row r="46" spans="1:13" x14ac:dyDescent="0.15">
      <c r="J46" s="12" t="s">
        <v>21</v>
      </c>
      <c r="L46" s="13">
        <v>-1.1599999999999999</v>
      </c>
    </row>
    <row r="47" spans="1:13" x14ac:dyDescent="0.15">
      <c r="J47" s="12" t="s">
        <v>102</v>
      </c>
      <c r="K47">
        <v>-1.349</v>
      </c>
      <c r="L47" s="13">
        <v>-1.1599999999999999</v>
      </c>
      <c r="M47">
        <f>ABS(AVERAGE(K47:K50)-AVERAGE(L46:L52))</f>
        <v>0.21474999999999977</v>
      </c>
    </row>
    <row r="48" spans="1:13" x14ac:dyDescent="0.15">
      <c r="J48" s="12" t="s">
        <v>103</v>
      </c>
      <c r="K48">
        <v>-1.45</v>
      </c>
      <c r="L48" s="13">
        <v>-1.1599999999999999</v>
      </c>
    </row>
    <row r="49" spans="10:13" x14ac:dyDescent="0.15">
      <c r="J49" s="12" t="s">
        <v>104</v>
      </c>
      <c r="K49">
        <v>-1.61</v>
      </c>
      <c r="L49" s="13">
        <v>-1.1599999999999999</v>
      </c>
    </row>
    <row r="50" spans="10:13" x14ac:dyDescent="0.15">
      <c r="J50" s="12" t="s">
        <v>105</v>
      </c>
      <c r="K50">
        <v>-0.85</v>
      </c>
      <c r="L50" s="13">
        <v>-1.1599999999999999</v>
      </c>
    </row>
    <row r="51" spans="10:13" x14ac:dyDescent="0.15">
      <c r="J51" s="12" t="s">
        <v>23</v>
      </c>
      <c r="L51" s="13">
        <v>-0.95</v>
      </c>
    </row>
    <row r="52" spans="10:13" x14ac:dyDescent="0.15">
      <c r="J52" s="12" t="s">
        <v>106</v>
      </c>
      <c r="K52">
        <v>-0.85</v>
      </c>
      <c r="L52" s="13">
        <v>-0.95</v>
      </c>
    </row>
    <row r="53" spans="10:13" x14ac:dyDescent="0.15">
      <c r="J53" s="12" t="s">
        <v>107</v>
      </c>
      <c r="K53">
        <v>-0.98</v>
      </c>
      <c r="L53" s="13">
        <v>-0.95</v>
      </c>
      <c r="M53">
        <f>ABS(AVERAGE(K52:K56)-AVERAGE(L52:L58))</f>
        <v>0.15225714285714298</v>
      </c>
    </row>
    <row r="54" spans="10:13" x14ac:dyDescent="0.15">
      <c r="J54" s="12" t="s">
        <v>108</v>
      </c>
      <c r="K54">
        <v>-1.1000000000000001</v>
      </c>
      <c r="L54" s="13">
        <v>-0.95</v>
      </c>
    </row>
    <row r="55" spans="10:13" x14ac:dyDescent="0.15">
      <c r="J55" s="12" t="s">
        <v>109</v>
      </c>
      <c r="K55">
        <v>-1.1200000000000001</v>
      </c>
      <c r="L55" s="13">
        <v>-0.95</v>
      </c>
    </row>
    <row r="56" spans="10:13" x14ac:dyDescent="0.15">
      <c r="J56" s="12" t="s">
        <v>110</v>
      </c>
      <c r="K56">
        <v>-1.1970000000000001</v>
      </c>
      <c r="L56" s="13">
        <v>-0.95</v>
      </c>
    </row>
    <row r="57" spans="10:13" x14ac:dyDescent="0.15">
      <c r="J57" s="12" t="s">
        <v>24</v>
      </c>
      <c r="L57" s="13">
        <v>-0.62</v>
      </c>
    </row>
    <row r="58" spans="10:13" x14ac:dyDescent="0.15">
      <c r="J58" s="12" t="s">
        <v>26</v>
      </c>
      <c r="L58" s="13">
        <v>-0.91</v>
      </c>
    </row>
    <row r="59" spans="10:13" x14ac:dyDescent="0.15">
      <c r="J59" s="4" t="s">
        <v>27</v>
      </c>
      <c r="L59" s="5">
        <v>-0.69</v>
      </c>
      <c r="M59">
        <f>ABS(AVERAGE(K60:K62)-AVERAGE(L60:L64))</f>
        <v>0.78933333333333322</v>
      </c>
    </row>
    <row r="60" spans="10:13" x14ac:dyDescent="0.15">
      <c r="J60" s="7" t="s">
        <v>111</v>
      </c>
      <c r="K60">
        <v>-1.53</v>
      </c>
      <c r="L60" s="5">
        <v>-0.69</v>
      </c>
    </row>
    <row r="61" spans="10:13" x14ac:dyDescent="0.15">
      <c r="J61" s="7" t="s">
        <v>112</v>
      </c>
      <c r="K61">
        <v>-1.43</v>
      </c>
      <c r="L61" s="5">
        <v>-0.69</v>
      </c>
    </row>
    <row r="62" spans="10:13" x14ac:dyDescent="0.15">
      <c r="J62" s="7" t="s">
        <v>113</v>
      </c>
      <c r="K62">
        <v>-1.478</v>
      </c>
      <c r="L62" s="5">
        <v>-0.69</v>
      </c>
    </row>
    <row r="63" spans="10:13" x14ac:dyDescent="0.15">
      <c r="J63" s="4" t="s">
        <v>28</v>
      </c>
      <c r="L63" s="5">
        <v>-0.69</v>
      </c>
    </row>
    <row r="64" spans="10:13" x14ac:dyDescent="0.15">
      <c r="J64" s="7" t="s">
        <v>114</v>
      </c>
      <c r="K64">
        <v>-0.85</v>
      </c>
      <c r="L64" s="5">
        <v>-0.69</v>
      </c>
    </row>
    <row r="65" spans="10:13" x14ac:dyDescent="0.15">
      <c r="J65" s="7" t="s">
        <v>115</v>
      </c>
      <c r="K65">
        <v>-0.91200000000000003</v>
      </c>
      <c r="L65" s="5">
        <v>-0.69</v>
      </c>
      <c r="M65">
        <f>ABS(AVERAGE(K64:K69)-AVERAGE(L63:L70))</f>
        <v>0.33274999999999999</v>
      </c>
    </row>
    <row r="66" spans="10:13" x14ac:dyDescent="0.15">
      <c r="J66" s="7" t="s">
        <v>120</v>
      </c>
      <c r="K66">
        <v>-1.19</v>
      </c>
      <c r="L66" s="5">
        <v>-0.69</v>
      </c>
    </row>
    <row r="67" spans="10:13" x14ac:dyDescent="0.15">
      <c r="J67" s="7" t="s">
        <v>116</v>
      </c>
      <c r="K67">
        <v>-1.002</v>
      </c>
      <c r="L67" s="5">
        <v>-0.69</v>
      </c>
    </row>
    <row r="68" spans="10:13" x14ac:dyDescent="0.15">
      <c r="J68" s="7" t="s">
        <v>119</v>
      </c>
      <c r="K68">
        <v>-1.1200000000000001</v>
      </c>
      <c r="L68" s="5">
        <v>-0.69</v>
      </c>
    </row>
    <row r="69" spans="10:13" x14ac:dyDescent="0.15">
      <c r="J69" s="7" t="s">
        <v>118</v>
      </c>
      <c r="K69">
        <v>-1.01</v>
      </c>
      <c r="L69" s="5">
        <v>-0.69</v>
      </c>
    </row>
    <row r="70" spans="10:13" x14ac:dyDescent="0.15">
      <c r="J70" s="4" t="s">
        <v>29</v>
      </c>
      <c r="L70" s="5">
        <v>-0.62</v>
      </c>
    </row>
    <row r="71" spans="10:13" x14ac:dyDescent="0.15">
      <c r="J71" s="4" t="s">
        <v>31</v>
      </c>
      <c r="L71" s="5">
        <v>-0.62</v>
      </c>
    </row>
    <row r="72" spans="10:13" x14ac:dyDescent="0.15">
      <c r="J72" s="7" t="s">
        <v>32</v>
      </c>
      <c r="L72">
        <v>-0.6</v>
      </c>
    </row>
    <row r="73" spans="10:13" x14ac:dyDescent="0.15">
      <c r="J73" s="7" t="s">
        <v>33</v>
      </c>
      <c r="L73">
        <v>-0.65</v>
      </c>
    </row>
    <row r="74" spans="10:13" x14ac:dyDescent="0.15">
      <c r="J74" s="7" t="s">
        <v>34</v>
      </c>
      <c r="L74">
        <v>-0.66</v>
      </c>
    </row>
    <row r="75" spans="10:13" x14ac:dyDescent="0.15">
      <c r="J75" s="7" t="s">
        <v>35</v>
      </c>
      <c r="L75">
        <v>-0.65</v>
      </c>
    </row>
    <row r="76" spans="10:13" x14ac:dyDescent="0.15">
      <c r="J76" s="7" t="s">
        <v>36</v>
      </c>
      <c r="L76">
        <v>-0.84</v>
      </c>
    </row>
    <row r="77" spans="10:13" x14ac:dyDescent="0.15">
      <c r="J77" s="7" t="s">
        <v>37</v>
      </c>
      <c r="L77">
        <v>-0.95</v>
      </c>
    </row>
    <row r="78" spans="10:13" x14ac:dyDescent="0.15">
      <c r="J78" s="7" t="s">
        <v>38</v>
      </c>
      <c r="L78">
        <v>-1.39</v>
      </c>
    </row>
    <row r="79" spans="10:13" x14ac:dyDescent="0.15">
      <c r="J79" s="7" t="s">
        <v>39</v>
      </c>
      <c r="L79">
        <v>-1.69</v>
      </c>
    </row>
    <row r="80" spans="10:13" x14ac:dyDescent="0.15">
      <c r="J80" s="7" t="s">
        <v>40</v>
      </c>
      <c r="L80">
        <v>-1.8</v>
      </c>
    </row>
    <row r="81" spans="10:13" x14ac:dyDescent="0.15">
      <c r="J81" s="7" t="s">
        <v>41</v>
      </c>
      <c r="L81">
        <v>-2.29</v>
      </c>
    </row>
    <row r="82" spans="10:13" x14ac:dyDescent="0.15">
      <c r="J82" s="7" t="s">
        <v>42</v>
      </c>
      <c r="L82">
        <v>-2.16</v>
      </c>
    </row>
    <row r="83" spans="10:13" x14ac:dyDescent="0.15">
      <c r="J83" s="7" t="s">
        <v>43</v>
      </c>
      <c r="L83">
        <v>-2.0499999999999998</v>
      </c>
    </row>
    <row r="84" spans="10:13" x14ac:dyDescent="0.15">
      <c r="J84" s="8" t="s">
        <v>44</v>
      </c>
      <c r="L84" s="9">
        <v>-2.0099999999999998</v>
      </c>
    </row>
    <row r="85" spans="10:13" x14ac:dyDescent="0.15">
      <c r="J85" s="8" t="s">
        <v>45</v>
      </c>
      <c r="L85" s="9">
        <v>-2.09</v>
      </c>
    </row>
    <row r="86" spans="10:13" x14ac:dyDescent="0.15">
      <c r="J86" s="8" t="s">
        <v>46</v>
      </c>
      <c r="L86" s="9">
        <v>-2.14</v>
      </c>
    </row>
    <row r="87" spans="10:13" x14ac:dyDescent="0.15">
      <c r="J87" s="8" t="s">
        <v>117</v>
      </c>
      <c r="K87">
        <v>-1.94</v>
      </c>
      <c r="L87" s="9">
        <v>-2.14</v>
      </c>
      <c r="M87">
        <f>ABS(AVERAGE(K87:K96)-AVERAGE(L84:L96))</f>
        <v>0.35119658119658181</v>
      </c>
    </row>
    <row r="88" spans="10:13" x14ac:dyDescent="0.15">
      <c r="J88" s="8" t="s">
        <v>121</v>
      </c>
      <c r="K88">
        <v>-1.86</v>
      </c>
      <c r="L88" s="9">
        <v>-2.14</v>
      </c>
    </row>
    <row r="89" spans="10:13" x14ac:dyDescent="0.15">
      <c r="J89" s="8" t="s">
        <v>122</v>
      </c>
      <c r="K89">
        <v>-1.83</v>
      </c>
      <c r="L89" s="9">
        <v>-2.14</v>
      </c>
    </row>
    <row r="90" spans="10:13" x14ac:dyDescent="0.15">
      <c r="J90" s="8" t="s">
        <v>123</v>
      </c>
      <c r="K90">
        <v>-1.65</v>
      </c>
      <c r="L90" s="9">
        <v>-2.14</v>
      </c>
    </row>
    <row r="91" spans="10:13" x14ac:dyDescent="0.15">
      <c r="J91" s="8" t="s">
        <v>124</v>
      </c>
      <c r="K91">
        <v>-1.61</v>
      </c>
      <c r="L91" s="9">
        <v>-2.14</v>
      </c>
    </row>
    <row r="92" spans="10:13" x14ac:dyDescent="0.15">
      <c r="J92" s="8" t="s">
        <v>125</v>
      </c>
      <c r="K92">
        <v>-1.54</v>
      </c>
      <c r="L92" s="9">
        <v>-2.14</v>
      </c>
    </row>
    <row r="93" spans="10:13" x14ac:dyDescent="0.15">
      <c r="J93" s="8" t="s">
        <v>126</v>
      </c>
      <c r="K93">
        <v>-2.06</v>
      </c>
      <c r="L93" s="9">
        <v>-2.14</v>
      </c>
    </row>
    <row r="94" spans="10:13" x14ac:dyDescent="0.15">
      <c r="J94" s="8" t="s">
        <v>127</v>
      </c>
      <c r="K94">
        <v>-1.96</v>
      </c>
      <c r="L94" s="9">
        <v>-2.14</v>
      </c>
    </row>
    <row r="95" spans="10:13" x14ac:dyDescent="0.15">
      <c r="J95" s="8" t="s">
        <v>48</v>
      </c>
      <c r="L95" s="9">
        <v>-2.44</v>
      </c>
    </row>
    <row r="96" spans="10:13" x14ac:dyDescent="0.15">
      <c r="J96" s="8" t="s">
        <v>128</v>
      </c>
      <c r="K96">
        <v>-1.94</v>
      </c>
      <c r="L96" s="9">
        <v>-2.44</v>
      </c>
    </row>
  </sheetData>
  <phoneticPr fontId="1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3"/>
  <sheetViews>
    <sheetView zoomScale="120" zoomScaleNormal="120" workbookViewId="0">
      <selection activeCell="C56" sqref="C56"/>
    </sheetView>
  </sheetViews>
  <sheetFormatPr baseColWidth="10" defaultColWidth="11.5" defaultRowHeight="13" x14ac:dyDescent="0.15"/>
  <cols>
    <col min="6" max="6" width="42.6640625" style="11" customWidth="1"/>
  </cols>
  <sheetData>
    <row r="1" spans="1:17" x14ac:dyDescent="0.15">
      <c r="A1" t="s">
        <v>49</v>
      </c>
      <c r="B1" t="s">
        <v>50</v>
      </c>
    </row>
    <row r="2" spans="1:17" x14ac:dyDescent="0.15">
      <c r="A2" t="s">
        <v>51</v>
      </c>
      <c r="B2">
        <v>30005000000</v>
      </c>
    </row>
    <row r="3" spans="1:17" x14ac:dyDescent="0.15">
      <c r="A3" t="s">
        <v>52</v>
      </c>
      <c r="B3">
        <v>2969</v>
      </c>
    </row>
    <row r="4" spans="1:17" x14ac:dyDescent="0.15">
      <c r="A4" t="s">
        <v>53</v>
      </c>
      <c r="B4" t="s">
        <v>54</v>
      </c>
    </row>
    <row r="5" spans="1:17" x14ac:dyDescent="0.15">
      <c r="A5" t="s">
        <v>55</v>
      </c>
      <c r="B5" t="s">
        <v>56</v>
      </c>
    </row>
    <row r="6" spans="1:17" x14ac:dyDescent="0.15">
      <c r="A6" t="s">
        <v>57</v>
      </c>
    </row>
    <row r="7" spans="1:17" x14ac:dyDescent="0.15">
      <c r="A7" t="s">
        <v>58</v>
      </c>
    </row>
    <row r="8" spans="1:17" x14ac:dyDescent="0.15">
      <c r="A8" t="s">
        <v>59</v>
      </c>
      <c r="B8">
        <v>10</v>
      </c>
      <c r="C8" t="s">
        <v>60</v>
      </c>
    </row>
    <row r="9" spans="1:17" x14ac:dyDescent="0.15">
      <c r="A9" t="s">
        <v>61</v>
      </c>
      <c r="B9">
        <v>6</v>
      </c>
      <c r="C9" t="s">
        <v>60</v>
      </c>
    </row>
    <row r="10" spans="1:17" x14ac:dyDescent="0.15">
      <c r="A10" t="s">
        <v>62</v>
      </c>
      <c r="B10">
        <v>0</v>
      </c>
      <c r="C10" t="s">
        <v>60</v>
      </c>
    </row>
    <row r="11" spans="1:17" x14ac:dyDescent="0.15">
      <c r="A11" t="s">
        <v>63</v>
      </c>
      <c r="B11">
        <v>15</v>
      </c>
      <c r="C11" t="s">
        <v>60</v>
      </c>
    </row>
    <row r="12" spans="1:17" x14ac:dyDescent="0.15">
      <c r="A12" t="s">
        <v>64</v>
      </c>
      <c r="B12">
        <v>45</v>
      </c>
      <c r="C12" t="s">
        <v>60</v>
      </c>
    </row>
    <row r="13" spans="1:17" x14ac:dyDescent="0.15">
      <c r="A13" t="s">
        <v>65</v>
      </c>
      <c r="B13" t="s">
        <v>66</v>
      </c>
    </row>
    <row r="14" spans="1:17" x14ac:dyDescent="0.15">
      <c r="A14" t="s">
        <v>67</v>
      </c>
      <c r="B14">
        <v>2.7E-2</v>
      </c>
    </row>
    <row r="15" spans="1:17" x14ac:dyDescent="0.15">
      <c r="A15" t="s">
        <v>68</v>
      </c>
      <c r="B15">
        <v>0.32500000000000001</v>
      </c>
    </row>
    <row r="16" spans="1:17" x14ac:dyDescent="0.15">
      <c r="A16" t="s">
        <v>69</v>
      </c>
      <c r="B16" t="s">
        <v>9</v>
      </c>
      <c r="C16" t="s">
        <v>70</v>
      </c>
      <c r="D16" t="s">
        <v>71</v>
      </c>
      <c r="E16" t="s">
        <v>72</v>
      </c>
      <c r="F16" s="11" t="s">
        <v>10</v>
      </c>
      <c r="G16" t="s">
        <v>73</v>
      </c>
      <c r="H16" t="s">
        <v>74</v>
      </c>
      <c r="I16" t="s">
        <v>75</v>
      </c>
      <c r="J16" t="s">
        <v>76</v>
      </c>
      <c r="K16" t="s">
        <v>77</v>
      </c>
      <c r="L16" t="s">
        <v>78</v>
      </c>
      <c r="M16" t="s">
        <v>79</v>
      </c>
      <c r="N16" t="s">
        <v>80</v>
      </c>
      <c r="O16" t="s">
        <v>81</v>
      </c>
      <c r="P16" t="s">
        <v>82</v>
      </c>
      <c r="Q16" t="s">
        <v>83</v>
      </c>
    </row>
    <row r="17" spans="1:16" x14ac:dyDescent="0.15">
      <c r="A17" t="s">
        <v>84</v>
      </c>
      <c r="B17" s="7" t="s">
        <v>15</v>
      </c>
      <c r="C17">
        <v>19.63</v>
      </c>
      <c r="D17">
        <v>-3.71</v>
      </c>
      <c r="E17">
        <v>8.9999999999999993E-3</v>
      </c>
      <c r="F17" s="11">
        <v>-0.25</v>
      </c>
      <c r="G17">
        <v>0.97</v>
      </c>
      <c r="H17">
        <v>-3.79</v>
      </c>
      <c r="I17">
        <v>-1.1599999999999999</v>
      </c>
      <c r="J17">
        <v>-0.51</v>
      </c>
      <c r="K17">
        <v>8.3919999999999995</v>
      </c>
      <c r="L17">
        <v>4.16</v>
      </c>
      <c r="M17">
        <v>23.1</v>
      </c>
      <c r="N17" t="s">
        <v>85</v>
      </c>
      <c r="O17">
        <v>0</v>
      </c>
      <c r="P17">
        <v>0</v>
      </c>
    </row>
    <row r="18" spans="1:16" x14ac:dyDescent="0.15">
      <c r="A18" t="s">
        <v>84</v>
      </c>
      <c r="B18" s="7" t="s">
        <v>17</v>
      </c>
      <c r="C18">
        <v>17.59</v>
      </c>
      <c r="D18">
        <v>-2.048</v>
      </c>
      <c r="E18">
        <v>1.4810000000000001</v>
      </c>
      <c r="F18" s="11">
        <v>-0.51</v>
      </c>
      <c r="G18">
        <v>0.97</v>
      </c>
      <c r="H18">
        <v>-3.79</v>
      </c>
      <c r="I18">
        <v>-0.70099999999999996</v>
      </c>
      <c r="J18">
        <v>-0.28000000000000003</v>
      </c>
      <c r="K18">
        <v>8.4689999999999994</v>
      </c>
      <c r="L18">
        <v>4.1500000000000004</v>
      </c>
      <c r="M18">
        <v>19.5</v>
      </c>
      <c r="N18" t="s">
        <v>85</v>
      </c>
      <c r="O18">
        <v>0</v>
      </c>
      <c r="P18">
        <v>0</v>
      </c>
    </row>
    <row r="19" spans="1:16" x14ac:dyDescent="0.15">
      <c r="A19" t="s">
        <v>84</v>
      </c>
      <c r="B19" s="7" t="s">
        <v>19</v>
      </c>
      <c r="C19">
        <v>17.489999999999998</v>
      </c>
      <c r="D19">
        <v>-0.66300000000000003</v>
      </c>
      <c r="E19">
        <v>3.6589999999999998</v>
      </c>
      <c r="F19" s="11">
        <v>-1.04</v>
      </c>
      <c r="G19">
        <v>0.97</v>
      </c>
      <c r="H19">
        <v>-3.79</v>
      </c>
      <c r="I19">
        <v>-0.42699999999999999</v>
      </c>
      <c r="J19">
        <v>-0.09</v>
      </c>
      <c r="K19">
        <v>8.4730000000000008</v>
      </c>
      <c r="L19">
        <v>4.1399999999999997</v>
      </c>
      <c r="M19">
        <v>18.7</v>
      </c>
      <c r="N19" t="s">
        <v>85</v>
      </c>
      <c r="O19">
        <v>0</v>
      </c>
      <c r="P19">
        <v>0</v>
      </c>
    </row>
    <row r="20" spans="1:16" x14ac:dyDescent="0.15">
      <c r="A20" t="s">
        <v>84</v>
      </c>
      <c r="B20" s="7" t="s">
        <v>21</v>
      </c>
      <c r="C20">
        <v>17.55</v>
      </c>
      <c r="D20">
        <v>-0.441</v>
      </c>
      <c r="E20">
        <v>4.1239999999999997</v>
      </c>
      <c r="F20" s="11">
        <v>-1.1599999999999999</v>
      </c>
      <c r="G20">
        <v>0.97</v>
      </c>
      <c r="H20">
        <v>-3.79</v>
      </c>
      <c r="I20">
        <v>-0.26500000000000001</v>
      </c>
      <c r="J20">
        <v>-0.06</v>
      </c>
      <c r="K20">
        <v>8.4689999999999994</v>
      </c>
      <c r="L20">
        <v>4.13</v>
      </c>
      <c r="M20">
        <v>18.899999999999999</v>
      </c>
      <c r="N20" t="s">
        <v>85</v>
      </c>
      <c r="O20">
        <v>0</v>
      </c>
      <c r="P20">
        <v>0</v>
      </c>
    </row>
    <row r="21" spans="1:16" x14ac:dyDescent="0.15">
      <c r="A21" t="s">
        <v>84</v>
      </c>
      <c r="B21" s="7" t="s">
        <v>23</v>
      </c>
      <c r="C21">
        <v>17.11</v>
      </c>
      <c r="D21">
        <v>-1.036</v>
      </c>
      <c r="E21">
        <v>3.1720000000000002</v>
      </c>
      <c r="F21" s="11">
        <v>-0.95</v>
      </c>
      <c r="G21">
        <v>0.97</v>
      </c>
      <c r="H21">
        <v>-3.79</v>
      </c>
      <c r="I21">
        <v>-0.42</v>
      </c>
      <c r="J21">
        <v>-0.14000000000000001</v>
      </c>
      <c r="K21">
        <v>8.484</v>
      </c>
      <c r="L21">
        <v>4.12</v>
      </c>
      <c r="M21">
        <v>18.7</v>
      </c>
      <c r="N21" t="s">
        <v>85</v>
      </c>
      <c r="O21">
        <v>0</v>
      </c>
      <c r="P21">
        <v>0</v>
      </c>
    </row>
    <row r="22" spans="1:16" x14ac:dyDescent="0.15">
      <c r="A22" t="s">
        <v>84</v>
      </c>
      <c r="B22" s="7" t="s">
        <v>24</v>
      </c>
      <c r="C22">
        <v>16.53</v>
      </c>
      <c r="D22">
        <v>-1.92</v>
      </c>
      <c r="E22">
        <v>1.792</v>
      </c>
      <c r="F22" s="11">
        <v>-0.62</v>
      </c>
      <c r="G22">
        <v>0.97</v>
      </c>
      <c r="H22">
        <v>-3.79</v>
      </c>
      <c r="I22">
        <v>-0.61899999999999999</v>
      </c>
      <c r="J22">
        <v>-0.26</v>
      </c>
      <c r="K22">
        <v>8.5060000000000002</v>
      </c>
      <c r="L22">
        <v>4.16</v>
      </c>
      <c r="M22">
        <v>26.7</v>
      </c>
      <c r="N22" t="s">
        <v>86</v>
      </c>
      <c r="O22">
        <v>25.23</v>
      </c>
      <c r="P22">
        <v>103.5</v>
      </c>
    </row>
    <row r="23" spans="1:16" x14ac:dyDescent="0.15">
      <c r="A23" t="s">
        <v>84</v>
      </c>
      <c r="B23" s="7" t="s">
        <v>26</v>
      </c>
      <c r="C23">
        <v>16.84</v>
      </c>
      <c r="D23">
        <v>-0.94799999999999995</v>
      </c>
      <c r="E23">
        <v>3.0840000000000001</v>
      </c>
      <c r="F23" s="11">
        <v>-0.91</v>
      </c>
      <c r="G23">
        <v>0.97</v>
      </c>
      <c r="H23">
        <v>-3.79</v>
      </c>
      <c r="I23">
        <v>-0.44800000000000001</v>
      </c>
      <c r="J23">
        <v>-0.13</v>
      </c>
      <c r="K23">
        <v>8.4949999999999992</v>
      </c>
      <c r="L23">
        <v>4.16</v>
      </c>
      <c r="M23">
        <v>23.5</v>
      </c>
      <c r="N23" t="s">
        <v>86</v>
      </c>
      <c r="O23">
        <v>25.25</v>
      </c>
      <c r="P23">
        <v>33.299999999999997</v>
      </c>
    </row>
    <row r="24" spans="1:16" x14ac:dyDescent="0.15">
      <c r="A24" t="s">
        <v>84</v>
      </c>
      <c r="B24" s="7" t="s">
        <v>27</v>
      </c>
      <c r="C24">
        <v>16.41</v>
      </c>
      <c r="D24">
        <v>-1.6619999999999999</v>
      </c>
      <c r="E24">
        <v>2.0880000000000001</v>
      </c>
      <c r="F24" s="11">
        <v>-0.69</v>
      </c>
      <c r="G24">
        <v>0.97</v>
      </c>
      <c r="H24">
        <v>-3.79</v>
      </c>
      <c r="I24">
        <v>-0.63200000000000001</v>
      </c>
      <c r="J24">
        <v>-0.23</v>
      </c>
      <c r="K24">
        <v>8.51</v>
      </c>
      <c r="L24">
        <v>4.17</v>
      </c>
      <c r="M24">
        <v>21.8</v>
      </c>
      <c r="N24" t="s">
        <v>86</v>
      </c>
      <c r="O24">
        <v>25.21</v>
      </c>
      <c r="P24">
        <v>32.4</v>
      </c>
    </row>
    <row r="25" spans="1:16" x14ac:dyDescent="0.15">
      <c r="A25" t="s">
        <v>84</v>
      </c>
      <c r="B25" s="7" t="s">
        <v>28</v>
      </c>
      <c r="C25">
        <v>15.89</v>
      </c>
      <c r="D25">
        <v>-1.498</v>
      </c>
      <c r="E25">
        <v>2.1320000000000001</v>
      </c>
      <c r="F25" s="11">
        <v>-0.69</v>
      </c>
      <c r="G25">
        <v>0.97</v>
      </c>
      <c r="H25">
        <v>-3.79</v>
      </c>
      <c r="I25">
        <v>-0.52600000000000002</v>
      </c>
      <c r="J25">
        <v>-0.2</v>
      </c>
      <c r="K25">
        <v>8.5329999999999995</v>
      </c>
      <c r="L25">
        <v>4.18</v>
      </c>
      <c r="M25">
        <v>20.9</v>
      </c>
      <c r="N25" t="s">
        <v>86</v>
      </c>
      <c r="O25">
        <v>25.17</v>
      </c>
      <c r="P25">
        <v>32.090000000000003</v>
      </c>
    </row>
    <row r="26" spans="1:16" x14ac:dyDescent="0.15">
      <c r="A26" t="s">
        <v>84</v>
      </c>
      <c r="B26" s="7" t="s">
        <v>29</v>
      </c>
      <c r="C26">
        <v>15.51</v>
      </c>
      <c r="D26">
        <v>-1.679</v>
      </c>
      <c r="E26">
        <v>1.81</v>
      </c>
      <c r="F26" s="11">
        <v>-0.62</v>
      </c>
      <c r="G26">
        <v>0.97</v>
      </c>
      <c r="H26">
        <v>-3.79</v>
      </c>
      <c r="I26">
        <v>-0.60199999999999998</v>
      </c>
      <c r="J26">
        <v>-0.23</v>
      </c>
      <c r="K26">
        <v>8.5440000000000005</v>
      </c>
      <c r="L26">
        <v>4.1900000000000004</v>
      </c>
      <c r="M26">
        <v>20.5</v>
      </c>
      <c r="N26" t="s">
        <v>86</v>
      </c>
      <c r="O26">
        <v>25.14</v>
      </c>
      <c r="P26">
        <v>32.090000000000003</v>
      </c>
    </row>
    <row r="27" spans="1:16" x14ac:dyDescent="0.15">
      <c r="A27" t="s">
        <v>84</v>
      </c>
      <c r="B27" s="7" t="s">
        <v>31</v>
      </c>
      <c r="C27">
        <v>14.97</v>
      </c>
      <c r="D27">
        <v>-1.66</v>
      </c>
      <c r="E27">
        <v>1.786</v>
      </c>
      <c r="F27" s="11">
        <v>-0.62</v>
      </c>
      <c r="G27">
        <v>0.97</v>
      </c>
      <c r="H27">
        <v>-3.79</v>
      </c>
      <c r="I27">
        <v>-0.61899999999999999</v>
      </c>
      <c r="J27">
        <v>-0.23</v>
      </c>
      <c r="K27">
        <v>8.5660000000000007</v>
      </c>
      <c r="L27">
        <v>4.1900000000000004</v>
      </c>
      <c r="M27">
        <v>19.399999999999999</v>
      </c>
      <c r="N27" t="s">
        <v>86</v>
      </c>
      <c r="O27">
        <v>25.1</v>
      </c>
      <c r="P27">
        <v>27.3</v>
      </c>
    </row>
    <row r="28" spans="1:16" x14ac:dyDescent="0.15">
      <c r="A28" t="s">
        <v>84</v>
      </c>
      <c r="B28" s="7" t="s">
        <v>32</v>
      </c>
      <c r="C28">
        <v>14.41</v>
      </c>
      <c r="D28">
        <v>-1.732</v>
      </c>
      <c r="E28">
        <v>1.673</v>
      </c>
      <c r="F28" s="11">
        <v>-0.6</v>
      </c>
      <c r="G28">
        <v>0.97</v>
      </c>
      <c r="H28">
        <v>-3.79</v>
      </c>
      <c r="I28">
        <v>-0.53100000000000003</v>
      </c>
      <c r="J28">
        <v>-0.24</v>
      </c>
      <c r="K28">
        <v>8.5850000000000009</v>
      </c>
      <c r="L28">
        <v>4.1900000000000004</v>
      </c>
      <c r="M28">
        <v>18.399999999999999</v>
      </c>
      <c r="N28" t="s">
        <v>86</v>
      </c>
      <c r="O28">
        <v>25.06</v>
      </c>
      <c r="P28">
        <v>26.4</v>
      </c>
    </row>
    <row r="29" spans="1:16" x14ac:dyDescent="0.15">
      <c r="A29" t="s">
        <v>84</v>
      </c>
      <c r="B29" s="7" t="s">
        <v>33</v>
      </c>
      <c r="C29">
        <v>13.93</v>
      </c>
      <c r="D29">
        <v>-1.4319999999999999</v>
      </c>
      <c r="E29">
        <v>1.873</v>
      </c>
      <c r="F29" s="11">
        <v>-0.65</v>
      </c>
      <c r="G29">
        <v>0.97</v>
      </c>
      <c r="H29">
        <v>-3.79</v>
      </c>
      <c r="I29">
        <v>-0.54700000000000004</v>
      </c>
      <c r="J29">
        <v>-0.2</v>
      </c>
      <c r="K29">
        <v>8.6039999999999992</v>
      </c>
      <c r="L29">
        <v>4.1900000000000004</v>
      </c>
      <c r="M29">
        <v>17.899999999999999</v>
      </c>
      <c r="N29" t="s">
        <v>86</v>
      </c>
      <c r="O29">
        <v>25.02</v>
      </c>
      <c r="P29">
        <v>26.4</v>
      </c>
    </row>
    <row r="30" spans="1:16" x14ac:dyDescent="0.15">
      <c r="A30" t="s">
        <v>84</v>
      </c>
      <c r="B30" s="7" t="s">
        <v>34</v>
      </c>
      <c r="C30">
        <v>13.41</v>
      </c>
      <c r="D30">
        <v>-1.4730000000000001</v>
      </c>
      <c r="E30">
        <v>1.867</v>
      </c>
      <c r="F30" s="11">
        <v>-0.66</v>
      </c>
      <c r="G30">
        <v>0.97</v>
      </c>
      <c r="H30">
        <v>-3.79</v>
      </c>
      <c r="I30">
        <v>-0.64100000000000001</v>
      </c>
      <c r="J30">
        <v>-0.2</v>
      </c>
      <c r="K30">
        <v>8.6229999999999993</v>
      </c>
      <c r="L30">
        <v>4.1900000000000004</v>
      </c>
      <c r="M30">
        <v>17.399999999999999</v>
      </c>
      <c r="N30" t="s">
        <v>86</v>
      </c>
      <c r="O30">
        <v>24.99</v>
      </c>
      <c r="P30">
        <v>26.4</v>
      </c>
    </row>
    <row r="31" spans="1:16" x14ac:dyDescent="0.15">
      <c r="A31" t="s">
        <v>84</v>
      </c>
      <c r="B31" s="7" t="s">
        <v>35</v>
      </c>
      <c r="C31">
        <v>13.2</v>
      </c>
      <c r="D31">
        <v>-1.3680000000000001</v>
      </c>
      <c r="E31">
        <v>1.841</v>
      </c>
      <c r="F31" s="11">
        <v>-0.65</v>
      </c>
      <c r="G31">
        <v>0.97</v>
      </c>
      <c r="H31">
        <v>-3.79</v>
      </c>
      <c r="I31">
        <v>-0.57799999999999996</v>
      </c>
      <c r="J31">
        <v>-0.19</v>
      </c>
      <c r="K31">
        <v>8.6310000000000002</v>
      </c>
      <c r="L31">
        <v>4.1900000000000004</v>
      </c>
      <c r="M31">
        <v>17.100000000000001</v>
      </c>
      <c r="N31" t="s">
        <v>86</v>
      </c>
      <c r="O31">
        <v>24.99</v>
      </c>
      <c r="P31">
        <v>26.4</v>
      </c>
    </row>
    <row r="32" spans="1:16" x14ac:dyDescent="0.15">
      <c r="A32" t="s">
        <v>84</v>
      </c>
      <c r="B32" s="7" t="s">
        <v>36</v>
      </c>
      <c r="C32">
        <v>13.17</v>
      </c>
      <c r="D32">
        <v>-0.877</v>
      </c>
      <c r="E32">
        <v>2.5249999999999999</v>
      </c>
      <c r="F32" s="11">
        <v>-0.84</v>
      </c>
      <c r="G32">
        <v>0.97</v>
      </c>
      <c r="H32">
        <v>-3.79</v>
      </c>
      <c r="I32">
        <v>-0.42699999999999999</v>
      </c>
      <c r="J32">
        <v>-0.12</v>
      </c>
      <c r="K32">
        <v>8.6349999999999998</v>
      </c>
      <c r="L32">
        <v>4.1900000000000004</v>
      </c>
      <c r="M32">
        <v>17.29</v>
      </c>
      <c r="N32" t="s">
        <v>86</v>
      </c>
      <c r="O32">
        <v>24.95</v>
      </c>
      <c r="P32">
        <v>26.4</v>
      </c>
    </row>
    <row r="33" spans="1:16" x14ac:dyDescent="0.15">
      <c r="A33" t="s">
        <v>84</v>
      </c>
      <c r="B33" s="7" t="s">
        <v>37</v>
      </c>
      <c r="C33">
        <v>13.09</v>
      </c>
      <c r="D33">
        <v>-0.63400000000000001</v>
      </c>
      <c r="E33">
        <v>2.8780000000000001</v>
      </c>
      <c r="F33" s="11">
        <v>-0.95</v>
      </c>
      <c r="G33">
        <v>0.97</v>
      </c>
      <c r="H33">
        <v>-3.79</v>
      </c>
      <c r="I33">
        <v>-0.39200000000000002</v>
      </c>
      <c r="J33">
        <v>-0.08</v>
      </c>
      <c r="K33">
        <v>8.6389999999999993</v>
      </c>
      <c r="L33">
        <v>4.1900000000000004</v>
      </c>
      <c r="M33">
        <v>17.399999999999999</v>
      </c>
      <c r="N33" t="s">
        <v>86</v>
      </c>
      <c r="O33">
        <v>24.92</v>
      </c>
      <c r="P33">
        <v>26.4</v>
      </c>
    </row>
    <row r="34" spans="1:16" x14ac:dyDescent="0.15">
      <c r="A34" t="s">
        <v>84</v>
      </c>
      <c r="B34" s="7" t="s">
        <v>38</v>
      </c>
      <c r="C34">
        <v>14.11</v>
      </c>
      <c r="D34">
        <v>0.98599999999999999</v>
      </c>
      <c r="E34">
        <v>4.78</v>
      </c>
      <c r="F34" s="11">
        <v>-1.39</v>
      </c>
      <c r="G34">
        <v>0.97</v>
      </c>
      <c r="H34">
        <v>-3.79</v>
      </c>
      <c r="I34">
        <v>-7.4999999999999997E-2</v>
      </c>
      <c r="J34">
        <v>0.13</v>
      </c>
      <c r="K34">
        <v>8.5969999999999995</v>
      </c>
      <c r="L34">
        <v>4.1900000000000004</v>
      </c>
      <c r="M34">
        <v>18.7</v>
      </c>
      <c r="N34" t="s">
        <v>86</v>
      </c>
      <c r="O34">
        <v>24.92</v>
      </c>
      <c r="P34">
        <v>26.7</v>
      </c>
    </row>
    <row r="35" spans="1:16" x14ac:dyDescent="0.15">
      <c r="A35" t="s">
        <v>84</v>
      </c>
      <c r="B35" s="7" t="s">
        <v>39</v>
      </c>
      <c r="C35">
        <v>15.22</v>
      </c>
      <c r="D35">
        <v>1.7989999999999999</v>
      </c>
      <c r="E35">
        <v>6.1340000000000003</v>
      </c>
      <c r="F35" s="11">
        <v>-1.69</v>
      </c>
      <c r="G35">
        <v>0.97</v>
      </c>
      <c r="H35">
        <v>-3.79</v>
      </c>
      <c r="I35">
        <v>7.3999999999999996E-2</v>
      </c>
      <c r="J35">
        <v>0.25</v>
      </c>
      <c r="K35">
        <v>8.5549999999999997</v>
      </c>
      <c r="L35">
        <v>4.1900000000000004</v>
      </c>
      <c r="M35">
        <v>20.29</v>
      </c>
      <c r="N35" t="s">
        <v>86</v>
      </c>
      <c r="O35">
        <v>24.92</v>
      </c>
      <c r="P35">
        <v>26.7</v>
      </c>
    </row>
    <row r="36" spans="1:16" x14ac:dyDescent="0.15">
      <c r="A36" t="s">
        <v>84</v>
      </c>
      <c r="B36" s="7" t="s">
        <v>40</v>
      </c>
      <c r="C36">
        <v>16.239999999999998</v>
      </c>
      <c r="D36">
        <v>1.8979999999999999</v>
      </c>
      <c r="E36">
        <v>6.7450000000000001</v>
      </c>
      <c r="F36" s="11">
        <v>-1.8</v>
      </c>
      <c r="G36">
        <v>0.97</v>
      </c>
      <c r="H36">
        <v>-3.79</v>
      </c>
      <c r="I36">
        <v>0.16800000000000001</v>
      </c>
      <c r="J36">
        <v>0.26</v>
      </c>
      <c r="K36">
        <v>8.5180000000000007</v>
      </c>
      <c r="L36">
        <v>4.1900000000000004</v>
      </c>
      <c r="M36">
        <v>21.5</v>
      </c>
      <c r="N36" t="s">
        <v>86</v>
      </c>
      <c r="O36">
        <v>24.92</v>
      </c>
      <c r="P36">
        <v>27</v>
      </c>
    </row>
    <row r="37" spans="1:16" x14ac:dyDescent="0.15">
      <c r="A37" t="s">
        <v>84</v>
      </c>
      <c r="B37" s="7" t="s">
        <v>41</v>
      </c>
      <c r="C37">
        <v>18.07</v>
      </c>
      <c r="D37">
        <v>3.4940000000000002</v>
      </c>
      <c r="E37">
        <v>9.343</v>
      </c>
      <c r="F37" s="11">
        <v>-2.29</v>
      </c>
      <c r="G37">
        <v>0.97</v>
      </c>
      <c r="H37">
        <v>-3.79</v>
      </c>
      <c r="I37">
        <v>0.45500000000000002</v>
      </c>
      <c r="J37">
        <v>0.48</v>
      </c>
      <c r="K37">
        <v>8.4510000000000005</v>
      </c>
      <c r="L37">
        <v>4.1900000000000004</v>
      </c>
      <c r="M37">
        <v>24.2</v>
      </c>
      <c r="N37" t="s">
        <v>86</v>
      </c>
      <c r="O37">
        <v>25.7</v>
      </c>
      <c r="P37">
        <v>26.7</v>
      </c>
    </row>
    <row r="38" spans="1:16" x14ac:dyDescent="0.15">
      <c r="A38" t="s">
        <v>84</v>
      </c>
      <c r="B38" s="7" t="s">
        <v>42</v>
      </c>
      <c r="C38">
        <v>19.18</v>
      </c>
      <c r="D38">
        <v>2.5649999999999999</v>
      </c>
      <c r="E38">
        <v>8.8559999999999999</v>
      </c>
      <c r="F38" s="11">
        <v>-2.16</v>
      </c>
      <c r="G38">
        <v>0.97</v>
      </c>
      <c r="H38">
        <v>-3.79</v>
      </c>
      <c r="I38">
        <v>0.34100000000000003</v>
      </c>
      <c r="J38">
        <v>0.35</v>
      </c>
      <c r="K38">
        <v>8.41</v>
      </c>
      <c r="L38">
        <v>4.1900000000000004</v>
      </c>
      <c r="M38">
        <v>25.1</v>
      </c>
      <c r="N38" t="s">
        <v>86</v>
      </c>
      <c r="O38">
        <v>26.9</v>
      </c>
      <c r="P38">
        <v>25.5</v>
      </c>
    </row>
    <row r="39" spans="1:16" x14ac:dyDescent="0.15">
      <c r="A39" t="s">
        <v>84</v>
      </c>
      <c r="B39" s="7" t="s">
        <v>43</v>
      </c>
      <c r="C39">
        <v>20.010000000000002</v>
      </c>
      <c r="D39">
        <v>2.0099999999999998</v>
      </c>
      <c r="E39">
        <v>8.5009999999999994</v>
      </c>
      <c r="F39" s="11">
        <v>-2.0499999999999998</v>
      </c>
      <c r="G39">
        <v>0.97</v>
      </c>
      <c r="H39">
        <v>-3.79</v>
      </c>
      <c r="I39">
        <v>0.193</v>
      </c>
      <c r="J39">
        <v>0.27</v>
      </c>
      <c r="K39">
        <v>8.3770000000000007</v>
      </c>
      <c r="L39">
        <v>4.1900000000000004</v>
      </c>
      <c r="M39">
        <v>26</v>
      </c>
      <c r="N39" t="s">
        <v>86</v>
      </c>
      <c r="O39">
        <v>27.39</v>
      </c>
      <c r="P39">
        <v>25.5</v>
      </c>
    </row>
    <row r="40" spans="1:16" x14ac:dyDescent="0.15">
      <c r="A40" t="s">
        <v>84</v>
      </c>
      <c r="B40" s="7" t="s">
        <v>44</v>
      </c>
      <c r="C40">
        <v>20.74</v>
      </c>
      <c r="D40">
        <v>1.581</v>
      </c>
      <c r="E40">
        <v>8.3539999999999992</v>
      </c>
      <c r="F40" s="11">
        <v>-2.0099999999999998</v>
      </c>
      <c r="G40">
        <v>0.97</v>
      </c>
      <c r="H40">
        <v>-3.79</v>
      </c>
      <c r="I40">
        <v>0.128</v>
      </c>
      <c r="J40">
        <v>0.21</v>
      </c>
      <c r="K40">
        <v>8.3520000000000003</v>
      </c>
      <c r="L40">
        <v>4.1900000000000004</v>
      </c>
      <c r="M40">
        <v>26.6</v>
      </c>
      <c r="N40" t="s">
        <v>86</v>
      </c>
      <c r="O40">
        <v>27.81</v>
      </c>
      <c r="P40">
        <v>25.2</v>
      </c>
    </row>
    <row r="41" spans="1:16" x14ac:dyDescent="0.15">
      <c r="A41" t="s">
        <v>84</v>
      </c>
      <c r="B41" s="7" t="s">
        <v>45</v>
      </c>
      <c r="C41">
        <v>21.46</v>
      </c>
      <c r="D41">
        <v>1.77</v>
      </c>
      <c r="E41">
        <v>8.8800000000000008</v>
      </c>
      <c r="F41" s="11">
        <v>-2.09</v>
      </c>
      <c r="G41">
        <v>0.97</v>
      </c>
      <c r="H41">
        <v>-3.79</v>
      </c>
      <c r="I41">
        <v>0.11</v>
      </c>
      <c r="J41">
        <v>0.24</v>
      </c>
      <c r="K41">
        <v>8.3260000000000005</v>
      </c>
      <c r="L41">
        <v>4.1900000000000004</v>
      </c>
      <c r="M41">
        <v>27.5</v>
      </c>
      <c r="N41" t="s">
        <v>86</v>
      </c>
      <c r="O41">
        <v>28.94</v>
      </c>
      <c r="P41">
        <v>24.6</v>
      </c>
    </row>
    <row r="42" spans="1:16" x14ac:dyDescent="0.15">
      <c r="A42" t="s">
        <v>84</v>
      </c>
      <c r="B42" s="7" t="s">
        <v>46</v>
      </c>
      <c r="C42">
        <v>22.3</v>
      </c>
      <c r="D42">
        <v>1.706</v>
      </c>
      <c r="E42">
        <v>9.2520000000000007</v>
      </c>
      <c r="F42" s="11">
        <v>-2.14</v>
      </c>
      <c r="G42">
        <v>0.97</v>
      </c>
      <c r="H42">
        <v>-3.79</v>
      </c>
      <c r="I42">
        <v>0.13300000000000001</v>
      </c>
      <c r="J42">
        <v>0.23</v>
      </c>
      <c r="K42">
        <v>8.2940000000000005</v>
      </c>
      <c r="L42">
        <v>4.1900000000000004</v>
      </c>
      <c r="M42">
        <v>28.2</v>
      </c>
      <c r="N42" t="s">
        <v>86</v>
      </c>
      <c r="O42">
        <v>28.94</v>
      </c>
      <c r="P42">
        <v>24.6</v>
      </c>
    </row>
    <row r="43" spans="1:16" x14ac:dyDescent="0.15">
      <c r="A43" t="s">
        <v>84</v>
      </c>
      <c r="B43" s="7" t="s">
        <v>48</v>
      </c>
      <c r="C43">
        <v>23.29</v>
      </c>
      <c r="D43">
        <v>2.4409999999999998</v>
      </c>
      <c r="E43">
        <v>10.958</v>
      </c>
      <c r="F43" s="11">
        <v>-2.44</v>
      </c>
      <c r="G43">
        <v>0.97</v>
      </c>
      <c r="H43">
        <v>-3.79</v>
      </c>
      <c r="I43">
        <v>0.44400000000000001</v>
      </c>
      <c r="J43">
        <v>0.33</v>
      </c>
      <c r="K43">
        <v>8.2620000000000005</v>
      </c>
      <c r="L43">
        <v>4.1900000000000004</v>
      </c>
      <c r="M43">
        <v>29.5</v>
      </c>
      <c r="N43" t="s">
        <v>86</v>
      </c>
      <c r="O43">
        <v>28.98</v>
      </c>
      <c r="P43">
        <v>24.6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zoomScale="95" zoomScaleNormal="95" workbookViewId="0">
      <selection activeCell="F40" activeCellId="1" sqref="L40:M42 F40"/>
    </sheetView>
  </sheetViews>
  <sheetFormatPr baseColWidth="10" defaultColWidth="11.5" defaultRowHeight="13" x14ac:dyDescent="0.15"/>
  <sheetData>
    <row r="1" spans="1:3" x14ac:dyDescent="0.15">
      <c r="A1" t="s">
        <v>87</v>
      </c>
      <c r="B1" t="s">
        <v>88</v>
      </c>
      <c r="C1" t="s">
        <v>89</v>
      </c>
    </row>
    <row r="2" spans="1:3" x14ac:dyDescent="0.15">
      <c r="B2" t="s">
        <v>90</v>
      </c>
      <c r="C2" t="s">
        <v>91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Leaf</vt:lpstr>
      <vt:lpstr>PSY</vt:lpstr>
      <vt:lpstr>Notes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Estefania Roldin Nicolau</cp:lastModifiedBy>
  <cp:revision>5</cp:revision>
  <dcterms:created xsi:type="dcterms:W3CDTF">2020-08-01T11:58:06Z</dcterms:created>
  <dcterms:modified xsi:type="dcterms:W3CDTF">2025-03-20T22:12:15Z</dcterms:modified>
  <dc:language>en-US</dc:language>
</cp:coreProperties>
</file>