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Data_Wasootch/LEAF AREA/"/>
    </mc:Choice>
  </mc:AlternateContent>
  <xr:revisionPtr revIDLastSave="0" documentId="13_ncr:1_{E631D110-03FB-F94F-AD66-F460ECB0604A}" xr6:coauthVersionLast="47" xr6:coauthVersionMax="47" xr10:uidLastSave="{00000000-0000-0000-0000-000000000000}"/>
  <bookViews>
    <workbookView xWindow="380" yWindow="500" windowWidth="28040" windowHeight="16280" xr2:uid="{E8A2C23D-8DA9-6E45-B45C-C1A6B20AF7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37" i="1"/>
  <c r="E36" i="1"/>
  <c r="E35" i="1"/>
  <c r="B35" i="1"/>
  <c r="B36" i="1"/>
  <c r="B37" i="1"/>
  <c r="B40" i="1"/>
  <c r="E43" i="1"/>
  <c r="E42" i="1"/>
  <c r="E41" i="1"/>
  <c r="E30" i="1"/>
  <c r="E29" i="1"/>
  <c r="E27" i="1"/>
  <c r="B16" i="1"/>
  <c r="E15" i="1" s="1"/>
  <c r="B15" i="1"/>
  <c r="C3" i="1"/>
  <c r="C4" i="1"/>
  <c r="C5" i="1"/>
  <c r="C6" i="1"/>
  <c r="C7" i="1"/>
  <c r="C8" i="1"/>
  <c r="C2" i="1"/>
  <c r="E45" i="1" l="1"/>
</calcChain>
</file>

<file path=xl/sharedStrings.xml><?xml version="1.0" encoding="utf-8"?>
<sst xmlns="http://schemas.openxmlformats.org/spreadsheetml/2006/main" count="28" uniqueCount="28">
  <si>
    <t>L (mm)</t>
  </si>
  <si>
    <t>D (mm)</t>
  </si>
  <si>
    <t>Area mm2 (2pirh)</t>
  </si>
  <si>
    <t xml:space="preserve">average no needles/2.5cm </t>
  </si>
  <si>
    <t>Average area (mm2)</t>
  </si>
  <si>
    <t xml:space="preserve">in 15 cm length </t>
  </si>
  <si>
    <t xml:space="preserve">no of branches </t>
  </si>
  <si>
    <t>no branches 90 cm-120</t>
  </si>
  <si>
    <t>no branches &gt;=120 cm</t>
  </si>
  <si>
    <t xml:space="preserve">no branches &lt;=45 cm </t>
  </si>
  <si>
    <t xml:space="preserve">height tree 5 m (mm) </t>
  </si>
  <si>
    <t>branch length 5 to 8 c's (mm)</t>
  </si>
  <si>
    <t xml:space="preserve">no needles in 2.5 from 3 diff trees </t>
  </si>
  <si>
    <t xml:space="preserve">4-8 branches of lengths (mm) : </t>
  </si>
  <si>
    <t>average legth of small branches (mm)</t>
  </si>
  <si>
    <t xml:space="preserve">my 'ruler' (mm) </t>
  </si>
  <si>
    <t xml:space="preserve">average no of small branches in 15 cm (avg between 4 and 8) </t>
  </si>
  <si>
    <t>total length with small branches in 15 cm linear</t>
  </si>
  <si>
    <t>Avg area in a 2.5 cm (25mm) branch (mm2)</t>
  </si>
  <si>
    <t>Avg area in 15 cm linear (mm2)</t>
  </si>
  <si>
    <t>Avg area in a 45 cm branch</t>
  </si>
  <si>
    <t>Avg area in a 90 cm branch</t>
  </si>
  <si>
    <t xml:space="preserve">Avg area in a 120 cm branch </t>
  </si>
  <si>
    <t xml:space="preserve">Total area estimated for 5 m spruce soil cougar creek (m2) </t>
  </si>
  <si>
    <t>Avg area in lower tree (mm2)</t>
  </si>
  <si>
    <t>Avg area in middle tree (mm2)</t>
  </si>
  <si>
    <t xml:space="preserve">Avg area in upper tree (mm2) </t>
  </si>
  <si>
    <t xml:space="preserve">swa (cm2)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</si>
</sst>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24F3-960E-A947-B98B-6E2CE4AE360A}">
  <dimension ref="A1:E47"/>
  <sheetViews>
    <sheetView tabSelected="1" topLeftCell="A22" workbookViewId="0">
      <selection activeCell="D49" sqref="D49"/>
    </sheetView>
  </sheetViews>
  <sheetFormatPr baseColWidth="10" defaultRowHeight="16" x14ac:dyDescent="0.2"/>
  <cols>
    <col min="1" max="1" width="22.1640625" customWidth="1"/>
    <col min="3" max="3" width="11.5" customWidth="1"/>
    <col min="4" max="4" width="50.1640625" customWidth="1"/>
  </cols>
  <sheetData>
    <row r="1" spans="1:5" x14ac:dyDescent="0.2">
      <c r="A1" t="s">
        <v>1</v>
      </c>
      <c r="B1" t="s">
        <v>0</v>
      </c>
      <c r="C1" t="s">
        <v>2</v>
      </c>
    </row>
    <row r="2" spans="1:5" x14ac:dyDescent="0.2">
      <c r="A2">
        <v>1</v>
      </c>
      <c r="B2">
        <v>1.2</v>
      </c>
      <c r="C2">
        <f>2*PI()*(A2/2)*B2</f>
        <v>3.7699111843077517</v>
      </c>
    </row>
    <row r="3" spans="1:5" x14ac:dyDescent="0.2">
      <c r="A3">
        <v>1</v>
      </c>
      <c r="B3">
        <v>1.9</v>
      </c>
      <c r="C3">
        <f t="shared" ref="C3:C8" si="0">2*PI()*(A3/2)*B3</f>
        <v>5.9690260418206069</v>
      </c>
    </row>
    <row r="4" spans="1:5" x14ac:dyDescent="0.2">
      <c r="A4">
        <v>1</v>
      </c>
      <c r="B4">
        <v>1.7</v>
      </c>
      <c r="C4">
        <f t="shared" si="0"/>
        <v>5.3407075111026483</v>
      </c>
    </row>
    <row r="5" spans="1:5" x14ac:dyDescent="0.2">
      <c r="A5">
        <v>1</v>
      </c>
      <c r="B5">
        <v>1.4</v>
      </c>
      <c r="C5">
        <f t="shared" si="0"/>
        <v>4.3982297150257104</v>
      </c>
    </row>
    <row r="6" spans="1:5" x14ac:dyDescent="0.2">
      <c r="A6">
        <v>1</v>
      </c>
      <c r="B6">
        <v>1.5</v>
      </c>
      <c r="C6">
        <f t="shared" si="0"/>
        <v>4.7123889803846897</v>
      </c>
    </row>
    <row r="7" spans="1:5" x14ac:dyDescent="0.2">
      <c r="A7">
        <v>1</v>
      </c>
      <c r="B7">
        <v>1.4</v>
      </c>
      <c r="C7">
        <f t="shared" si="0"/>
        <v>4.3982297150257104</v>
      </c>
    </row>
    <row r="8" spans="1:5" x14ac:dyDescent="0.2">
      <c r="A8">
        <v>0.8</v>
      </c>
      <c r="B8">
        <v>1</v>
      </c>
      <c r="C8">
        <f t="shared" si="0"/>
        <v>2.5132741228718345</v>
      </c>
    </row>
    <row r="15" spans="1:5" x14ac:dyDescent="0.2">
      <c r="A15" t="s">
        <v>4</v>
      </c>
      <c r="B15">
        <f>AVERAGE(C2:C8)</f>
        <v>4.4431096100769931</v>
      </c>
      <c r="D15" t="s">
        <v>18</v>
      </c>
      <c r="E15">
        <f>B15*B16</f>
        <v>182.16749401315673</v>
      </c>
    </row>
    <row r="16" spans="1:5" x14ac:dyDescent="0.2">
      <c r="A16" t="s">
        <v>3</v>
      </c>
      <c r="B16">
        <f>AVERAGE(B19:B21)</f>
        <v>41</v>
      </c>
    </row>
    <row r="19" spans="1:5" x14ac:dyDescent="0.2">
      <c r="A19" t="s">
        <v>12</v>
      </c>
      <c r="B19">
        <v>35</v>
      </c>
    </row>
    <row r="20" spans="1:5" x14ac:dyDescent="0.2">
      <c r="B20">
        <v>41</v>
      </c>
    </row>
    <row r="21" spans="1:5" x14ac:dyDescent="0.2">
      <c r="B21">
        <v>47</v>
      </c>
    </row>
    <row r="25" spans="1:5" x14ac:dyDescent="0.2">
      <c r="A25" t="s">
        <v>15</v>
      </c>
      <c r="B25">
        <v>150</v>
      </c>
    </row>
    <row r="27" spans="1:5" x14ac:dyDescent="0.2">
      <c r="A27" t="s">
        <v>13</v>
      </c>
      <c r="B27">
        <v>25</v>
      </c>
      <c r="D27" t="s">
        <v>14</v>
      </c>
      <c r="E27">
        <f>AVERAGE(B27:B33)</f>
        <v>51.857142857142854</v>
      </c>
    </row>
    <row r="28" spans="1:5" x14ac:dyDescent="0.2">
      <c r="A28" t="s">
        <v>5</v>
      </c>
      <c r="B28">
        <v>40</v>
      </c>
      <c r="D28" t="s">
        <v>16</v>
      </c>
      <c r="E28">
        <v>6</v>
      </c>
    </row>
    <row r="29" spans="1:5" x14ac:dyDescent="0.2">
      <c r="B29">
        <v>43</v>
      </c>
      <c r="D29" t="s">
        <v>17</v>
      </c>
      <c r="E29">
        <f>E27*E28</f>
        <v>311.14285714285711</v>
      </c>
    </row>
    <row r="30" spans="1:5" x14ac:dyDescent="0.2">
      <c r="B30">
        <v>50</v>
      </c>
      <c r="D30" t="s">
        <v>19</v>
      </c>
      <c r="E30">
        <f>(E15*E29)/25</f>
        <v>2267.204582632316</v>
      </c>
    </row>
    <row r="31" spans="1:5" x14ac:dyDescent="0.2">
      <c r="B31">
        <v>60</v>
      </c>
    </row>
    <row r="32" spans="1:5" x14ac:dyDescent="0.2">
      <c r="B32">
        <v>70</v>
      </c>
    </row>
    <row r="33" spans="1:5" x14ac:dyDescent="0.2">
      <c r="B33">
        <v>75</v>
      </c>
    </row>
    <row r="35" spans="1:5" x14ac:dyDescent="0.2">
      <c r="A35" t="s">
        <v>11</v>
      </c>
      <c r="B35">
        <f>15*10*3</f>
        <v>450</v>
      </c>
      <c r="D35" t="s">
        <v>20</v>
      </c>
      <c r="E35">
        <f>(B35/150)*E30</f>
        <v>6801.6137478969486</v>
      </c>
    </row>
    <row r="36" spans="1:5" x14ac:dyDescent="0.2">
      <c r="B36">
        <f>15*10*5</f>
        <v>750</v>
      </c>
      <c r="D36" t="s">
        <v>21</v>
      </c>
      <c r="E36">
        <f>(B36/150)*E30</f>
        <v>11336.02291316158</v>
      </c>
    </row>
    <row r="37" spans="1:5" x14ac:dyDescent="0.2">
      <c r="B37">
        <f>15*10*8</f>
        <v>1200</v>
      </c>
      <c r="D37" t="s">
        <v>22</v>
      </c>
      <c r="E37">
        <f>(B37/150)*E30</f>
        <v>18137.636661058528</v>
      </c>
    </row>
    <row r="40" spans="1:5" x14ac:dyDescent="0.2">
      <c r="A40" t="s">
        <v>6</v>
      </c>
      <c r="B40">
        <f>SUM(B41:B43)</f>
        <v>45</v>
      </c>
    </row>
    <row r="41" spans="1:5" x14ac:dyDescent="0.2">
      <c r="A41" t="s">
        <v>8</v>
      </c>
      <c r="B41">
        <v>20</v>
      </c>
      <c r="D41" t="s">
        <v>24</v>
      </c>
      <c r="E41">
        <f>E35*B41</f>
        <v>136032.27495793896</v>
      </c>
    </row>
    <row r="42" spans="1:5" x14ac:dyDescent="0.2">
      <c r="A42" t="s">
        <v>7</v>
      </c>
      <c r="B42">
        <v>15</v>
      </c>
      <c r="D42" t="s">
        <v>25</v>
      </c>
      <c r="E42">
        <f>E36*B42</f>
        <v>170040.3436974237</v>
      </c>
    </row>
    <row r="43" spans="1:5" x14ac:dyDescent="0.2">
      <c r="A43" t="s">
        <v>9</v>
      </c>
      <c r="B43">
        <v>10</v>
      </c>
      <c r="D43" t="s">
        <v>26</v>
      </c>
      <c r="E43">
        <f>E37*B43</f>
        <v>181376.36661058528</v>
      </c>
    </row>
    <row r="45" spans="1:5" x14ac:dyDescent="0.2">
      <c r="D45" t="s">
        <v>23</v>
      </c>
      <c r="E45">
        <f>SUM(E41:E43)/1000</f>
        <v>487.4489852659479</v>
      </c>
    </row>
    <row r="46" spans="1:5" x14ac:dyDescent="0.2">
      <c r="A46" t="s">
        <v>10</v>
      </c>
      <c r="B46">
        <v>5000</v>
      </c>
    </row>
    <row r="47" spans="1:5" x14ac:dyDescent="0.2">
      <c r="D47" t="s">
        <v>27</v>
      </c>
      <c r="E47">
        <f>E45/0.72</f>
        <v>677.01247953603877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Roldin Nicolau</dc:creator>
  <cp:lastModifiedBy>Estefania Roldin Nicolau</cp:lastModifiedBy>
  <dcterms:created xsi:type="dcterms:W3CDTF">2025-05-06T20:42:37Z</dcterms:created>
  <dcterms:modified xsi:type="dcterms:W3CDTF">2025-05-06T21:37:10Z</dcterms:modified>
</cp:coreProperties>
</file>