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iaroldannicolau/Documents/GitHub/Data_Wasootch/LEAF AREA/"/>
    </mc:Choice>
  </mc:AlternateContent>
  <xr:revisionPtr revIDLastSave="0" documentId="13_ncr:1_{E5F76A5D-75CE-C642-A478-6D8127441158}" xr6:coauthVersionLast="47" xr6:coauthVersionMax="47" xr10:uidLastSave="{00000000-0000-0000-0000-000000000000}"/>
  <bookViews>
    <workbookView xWindow="360" yWindow="1300" windowWidth="27680" windowHeight="15140" xr2:uid="{F3E8AAB4-74C3-1C42-BA6E-3EC66F89AAFB}"/>
  </bookViews>
  <sheets>
    <sheet name="Sheet1" sheetId="1" r:id="rId1"/>
    <sheet name="Weibull-resistance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3" i="2"/>
  <c r="I4" i="2"/>
  <c r="I6" i="2"/>
  <c r="I7" i="2"/>
  <c r="I8" i="2"/>
  <c r="I9" i="2"/>
  <c r="I10" i="2"/>
  <c r="I2" i="2"/>
  <c r="Q20" i="1"/>
  <c r="Q21" i="1"/>
  <c r="Q22" i="1"/>
  <c r="Q23" i="1"/>
  <c r="Q24" i="1"/>
  <c r="Q25" i="1"/>
  <c r="Q26" i="1"/>
  <c r="Q27" i="1"/>
  <c r="Q28" i="1"/>
  <c r="F10" i="1"/>
  <c r="F9" i="1"/>
  <c r="F7" i="1"/>
  <c r="F5" i="1"/>
  <c r="F3" i="1"/>
  <c r="G3" i="1" s="1"/>
  <c r="H3" i="1" s="1"/>
  <c r="F4" i="1"/>
  <c r="F6" i="1"/>
  <c r="F8" i="1"/>
  <c r="F2" i="1"/>
  <c r="G2" i="1" s="1"/>
  <c r="H2" i="1" s="1"/>
  <c r="E2" i="1"/>
  <c r="Q3" i="1"/>
  <c r="Q4" i="1"/>
  <c r="Q5" i="1"/>
  <c r="Q6" i="1"/>
  <c r="Q7" i="1"/>
  <c r="Q8" i="1"/>
  <c r="Q9" i="1"/>
  <c r="Q10" i="1"/>
  <c r="Q2" i="1"/>
  <c r="J10" i="1"/>
  <c r="J9" i="1"/>
  <c r="K9" i="1" s="1"/>
  <c r="J8" i="1"/>
  <c r="J7" i="1"/>
  <c r="K7" i="1" s="1"/>
  <c r="J6" i="1"/>
  <c r="K6" i="1" s="1"/>
  <c r="J5" i="1"/>
  <c r="J4" i="1"/>
  <c r="J3" i="1"/>
  <c r="K8" i="1"/>
  <c r="K10" i="1"/>
  <c r="J2" i="1"/>
  <c r="H6" i="1"/>
  <c r="H7" i="1"/>
  <c r="H8" i="1"/>
  <c r="H9" i="1"/>
  <c r="H10" i="1"/>
  <c r="D42" i="1"/>
  <c r="D40" i="1"/>
  <c r="D39" i="1"/>
  <c r="C42" i="1"/>
  <c r="B42" i="1"/>
  <c r="C39" i="1"/>
  <c r="B39" i="1"/>
  <c r="C40" i="1"/>
  <c r="B40" i="1"/>
  <c r="E23" i="1"/>
  <c r="E8" i="1"/>
  <c r="E6" i="1"/>
  <c r="E4" i="1"/>
  <c r="G9" i="1"/>
  <c r="G10" i="1"/>
  <c r="G8" i="1"/>
  <c r="G7" i="1"/>
  <c r="G6" i="1"/>
  <c r="D3" i="1"/>
  <c r="E3" i="1" s="1"/>
  <c r="D4" i="1"/>
  <c r="D5" i="1"/>
  <c r="D6" i="1"/>
  <c r="D7" i="1"/>
  <c r="D8" i="1"/>
  <c r="D9" i="1"/>
  <c r="D10" i="1"/>
  <c r="D2" i="1"/>
  <c r="K3" i="1" l="1"/>
  <c r="K2" i="1"/>
  <c r="G4" i="1"/>
  <c r="H4" i="1" s="1"/>
  <c r="E5" i="1"/>
  <c r="G5" i="1" s="1"/>
  <c r="E7" i="1"/>
  <c r="E9" i="1"/>
  <c r="E10" i="1"/>
  <c r="H5" i="1" l="1"/>
  <c r="K5" i="1"/>
  <c r="K4" i="1"/>
  <c r="L4" i="1" l="1"/>
  <c r="L8" i="1"/>
  <c r="L6" i="1"/>
  <c r="L2" i="1"/>
  <c r="L7" i="1"/>
  <c r="L10" i="1"/>
  <c r="L3" i="1"/>
  <c r="L5" i="1"/>
  <c r="L9" i="1"/>
</calcChain>
</file>

<file path=xl/sharedStrings.xml><?xml version="1.0" encoding="utf-8"?>
<sst xmlns="http://schemas.openxmlformats.org/spreadsheetml/2006/main" count="173" uniqueCount="98">
  <si>
    <t>Tree</t>
  </si>
  <si>
    <t>DF49GT</t>
  </si>
  <si>
    <t>ES48GT</t>
  </si>
  <si>
    <t>DF21LS</t>
  </si>
  <si>
    <t>ES50LS</t>
  </si>
  <si>
    <t>DF03US</t>
  </si>
  <si>
    <t>ES51US</t>
  </si>
  <si>
    <t>DF27US</t>
  </si>
  <si>
    <t>ES42US</t>
  </si>
  <si>
    <t>ES01US</t>
  </si>
  <si>
    <t xml:space="preserve">SW_Area (m2) </t>
  </si>
  <si>
    <t xml:space="preserve">SW_Area (cm2) </t>
  </si>
  <si>
    <t>Kaufmann et al (1982) Leaf Area Determinations for Subalpine Tree Species in the Central Rocky Mountains</t>
  </si>
  <si>
    <t xml:space="preserve">Marshall and Waring (1986) Comparison of Methods of Estimating Leaf-Area Index In Old-Growth Douglas-Fir </t>
  </si>
  <si>
    <t>Waring et al 1982</t>
  </si>
  <si>
    <t xml:space="preserve">Foresters have developed a less destructive method that relates foliage area to the diameter of the sapwood area at breast height or at crown base (Grier and Waring, 1974; Albrekston, 1984; Makela et al., 1995). </t>
  </si>
  <si>
    <t>The leaf area per unit sapwood area varies from 0.15± 0.75 m2 cm±2 in conifers (Waring et al., 1982).</t>
  </si>
  <si>
    <t xml:space="preserve"> It has been suggested that the product of sapwood area and sapwood permeability should improve the relationship with leaf area (Whitehead et al., 1984; Shelbrune et al., 1993).</t>
  </si>
  <si>
    <t xml:space="preserve">A_L_max (m2) </t>
  </si>
  <si>
    <t>https://academic.oup.com/forestscience/article/27/3/477/4656556</t>
  </si>
  <si>
    <t>Kaufmann and Troendle (1981)- The Relationship of Leaf Area and Foliage Biomass to Sapwood Conducting Area in Four Subalpine Forest Tree Species</t>
  </si>
  <si>
    <t xml:space="preserve">0.72 m2/cm2 E. spruce </t>
  </si>
  <si>
    <t xml:space="preserve">0.47 m2/cm2 D. fir </t>
  </si>
  <si>
    <t>Marshall and Waring (1986)</t>
  </si>
  <si>
    <t>0.54 m2/cm2</t>
  </si>
  <si>
    <t xml:space="preserve">Waring 1982 </t>
  </si>
  <si>
    <t xml:space="preserve">Douglas fir: </t>
  </si>
  <si>
    <t xml:space="preserve">Engelmann spruce: </t>
  </si>
  <si>
    <t>McDowell et al (2002)</t>
  </si>
  <si>
    <t xml:space="preserve">0.45 m2/cm2 var menziesii </t>
  </si>
  <si>
    <t xml:space="preserve">(not engelmanni but picea abie in McDowell (2002) 0.33 m2/cm2) </t>
  </si>
  <si>
    <t xml:space="preserve">Overall for trees 20 m height and below values go from 0.42 to 0.57 approx- figure 1) </t>
  </si>
  <si>
    <t>At the tree base, there was no evidence thatAl/Asdecreased with tree age or with tree size.</t>
  </si>
  <si>
    <t xml:space="preserve"> In both species,Al/Asof branches was significantly higher thanAl/Asat thetree base, but it was not different fromAl/Asmeasured inthe trunks at the top of the tree. </t>
  </si>
  <si>
    <t>Douglas-fir had higherAl/Asat the base than did ponderosa pine (0.42 vs. 0.24 m2cm−2),</t>
  </si>
  <si>
    <t>Domec et al (2012)</t>
  </si>
  <si>
    <t>IMPORTANT ARGUMENTS</t>
  </si>
  <si>
    <t xml:space="preserve">Allometric </t>
  </si>
  <si>
    <t>Douglas fir: A_L = 0.035 × DBH^2.31 (Waring et al., 1982, adjusted for units).</t>
  </si>
  <si>
    <t>Diameter</t>
  </si>
  <si>
    <t>//0.33 m2/cm2 var glauca McDowell et al (2002)</t>
  </si>
  <si>
    <t>A_L_choosing (m2)</t>
  </si>
  <si>
    <t>0.35 or 0.29 m2/cm2</t>
  </si>
  <si>
    <t xml:space="preserve">A_L_min (m2) </t>
  </si>
  <si>
    <t xml:space="preserve">Assumed max branch for proyection(m) </t>
  </si>
  <si>
    <t>Proyected area a circle with the branch radius+half diameter (m2)</t>
  </si>
  <si>
    <t>LAI</t>
  </si>
  <si>
    <t>pt/pet=LAI/LAImax</t>
  </si>
  <si>
    <t>LAI/LAImax</t>
  </si>
  <si>
    <t>Domec et al 2012</t>
  </si>
  <si>
    <t>Mature bole</t>
  </si>
  <si>
    <t>0.40+-0,07-0.44+-0.06</t>
  </si>
  <si>
    <t>0.32+-0.03-0.38+-0.05</t>
  </si>
  <si>
    <t xml:space="preserve">Intermediate planted </t>
  </si>
  <si>
    <t>94.5+-18.3 m2</t>
  </si>
  <si>
    <t xml:space="preserve">49.5 +-7.3 m2 </t>
  </si>
  <si>
    <t>max</t>
  </si>
  <si>
    <t>min</t>
  </si>
  <si>
    <t>Leaf areas of  DF (m2)</t>
  </si>
  <si>
    <t>intermediate</t>
  </si>
  <si>
    <t xml:space="preserve">mature </t>
  </si>
  <si>
    <t>309+-41 m2</t>
  </si>
  <si>
    <t>SWA avg (cm2)</t>
  </si>
  <si>
    <t>ours</t>
  </si>
  <si>
    <t>A_L_ch (cm2)</t>
  </si>
  <si>
    <t>Divided by 2 because that is the definition:While the general definition is one-sided leaf area, conifers often use "half the total needle surface area" because it relates to gas exchange more directly.</t>
  </si>
  <si>
    <t>DF_range_mature</t>
  </si>
  <si>
    <t>0.4 to 0.57</t>
  </si>
  <si>
    <t>ES_range_mature</t>
  </si>
  <si>
    <t>0.35-0.72</t>
  </si>
  <si>
    <t>m2/m2</t>
  </si>
  <si>
    <t>0.0004-0.00057</t>
  </si>
  <si>
    <t>0.00035-0.00072</t>
  </si>
  <si>
    <t>Year</t>
  </si>
  <si>
    <t>Min_Rp</t>
  </si>
  <si>
    <t>Max_Rp</t>
  </si>
  <si>
    <t>Max_Rp_Day</t>
  </si>
  <si>
    <t>\</t>
  </si>
  <si>
    <t>DF49</t>
  </si>
  <si>
    <t>DF27</t>
  </si>
  <si>
    <t>ES50</t>
  </si>
  <si>
    <t>ES51</t>
  </si>
  <si>
    <t>DF21</t>
  </si>
  <si>
    <t>ES48</t>
  </si>
  <si>
    <t>ES42</t>
  </si>
  <si>
    <t>ES01</t>
  </si>
  <si>
    <t>Period</t>
  </si>
  <si>
    <t>Dry</t>
  </si>
  <si>
    <t>Post-Dry</t>
  </si>
  <si>
    <t>Pre-Dry</t>
  </si>
  <si>
    <t>Rmin (Mpa s kg-1)</t>
  </si>
  <si>
    <t>d</t>
  </si>
  <si>
    <t>b</t>
  </si>
  <si>
    <t>Mean Rp  (Mpa s kg-1)</t>
  </si>
  <si>
    <r>
      <t>Rmin (Mpa s kg</t>
    </r>
    <r>
      <rPr>
        <sz val="12"/>
        <color theme="1"/>
        <rFont val="Aptos Narrow (Body)"/>
      </rPr>
      <t>-1</t>
    </r>
    <r>
      <rPr>
        <sz val="12"/>
        <color theme="1"/>
        <rFont val="Aptos Narrow"/>
        <family val="2"/>
        <scheme val="minor"/>
      </rPr>
      <t>)</t>
    </r>
  </si>
  <si>
    <t>R2</t>
  </si>
  <si>
    <t>Conductance H-P</t>
  </si>
  <si>
    <t>Conductance 1/R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</si>
</sst>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9"/>
      <color rgb="FF101010"/>
      <name val="Helvetica"/>
      <family val="2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3" fillId="0" borderId="0" xfId="0" applyFon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ademic.oup.com/forestscience/article/27/3/477/4656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0C2E-C2CA-F742-8B10-0A2152D72FE7}">
  <dimension ref="A1:U44"/>
  <sheetViews>
    <sheetView tabSelected="1" workbookViewId="0">
      <selection activeCell="F33" sqref="F33"/>
    </sheetView>
  </sheetViews>
  <sheetFormatPr baseColWidth="10" defaultRowHeight="16" x14ac:dyDescent="0.2"/>
  <cols>
    <col min="1" max="1" width="25.5" customWidth="1"/>
    <col min="3" max="3" width="16.33203125" customWidth="1"/>
    <col min="4" max="4" width="14" customWidth="1"/>
    <col min="5" max="5" width="21" customWidth="1"/>
    <col min="6" max="6" width="14.6640625" customWidth="1"/>
    <col min="7" max="7" width="15.33203125" customWidth="1"/>
    <col min="8" max="8" width="13.83203125" customWidth="1"/>
    <col min="9" max="9" width="32.6640625" customWidth="1"/>
    <col min="10" max="10" width="18.6640625" customWidth="1"/>
  </cols>
  <sheetData>
    <row r="1" spans="1:21" x14ac:dyDescent="0.2">
      <c r="A1" s="1" t="s">
        <v>0</v>
      </c>
      <c r="B1" s="1" t="s">
        <v>39</v>
      </c>
      <c r="C1" t="s">
        <v>10</v>
      </c>
      <c r="D1" t="s">
        <v>11</v>
      </c>
      <c r="E1" t="s">
        <v>43</v>
      </c>
      <c r="F1" t="s">
        <v>18</v>
      </c>
      <c r="G1" t="s">
        <v>41</v>
      </c>
      <c r="H1" t="s">
        <v>64</v>
      </c>
      <c r="I1" t="s">
        <v>44</v>
      </c>
      <c r="J1" t="s">
        <v>45</v>
      </c>
      <c r="K1" t="s">
        <v>46</v>
      </c>
      <c r="L1" t="s">
        <v>48</v>
      </c>
    </row>
    <row r="2" spans="1:21" x14ac:dyDescent="0.2">
      <c r="A2" t="s">
        <v>1</v>
      </c>
      <c r="B2">
        <v>48.9</v>
      </c>
      <c r="C2">
        <v>2.9091147972241493E-2</v>
      </c>
      <c r="D2">
        <f>C2*10000</f>
        <v>290.91147972241492</v>
      </c>
      <c r="E2">
        <f>D2*0.33</f>
        <v>96.000788308396935</v>
      </c>
      <c r="F2">
        <f>D2*0.4</f>
        <v>116.36459188896598</v>
      </c>
      <c r="G2" s="4">
        <f>F2</f>
        <v>116.36459188896598</v>
      </c>
      <c r="H2" s="6">
        <f>G2*10000</f>
        <v>1163645.9188896597</v>
      </c>
      <c r="I2">
        <v>2</v>
      </c>
      <c r="J2" s="6">
        <f>PI()*(I2+((B2/100)/2))^2</f>
        <v>15.826653423799751</v>
      </c>
      <c r="K2" s="6">
        <f>(G2/J2)/2</f>
        <v>3.6762222806363987</v>
      </c>
      <c r="L2" s="4">
        <f>ROUND(K2,0)/ROUND(MAX(K2,K4,K6,K8),0)</f>
        <v>1</v>
      </c>
      <c r="M2" s="5"/>
      <c r="P2">
        <v>142.5466250639833</v>
      </c>
      <c r="Q2">
        <f>P2*10000</f>
        <v>1425466.250639833</v>
      </c>
      <c r="T2" t="s">
        <v>1</v>
      </c>
      <c r="U2">
        <v>1425466.250639833</v>
      </c>
    </row>
    <row r="3" spans="1:21" x14ac:dyDescent="0.2">
      <c r="A3" t="s">
        <v>2</v>
      </c>
      <c r="B3">
        <v>34</v>
      </c>
      <c r="C3">
        <v>2.0583715066320309E-2</v>
      </c>
      <c r="D3">
        <f t="shared" ref="D3:D10" si="0">C3*10000</f>
        <v>205.83715066320309</v>
      </c>
      <c r="E3">
        <f>D3*0.29</f>
        <v>59.692773692328892</v>
      </c>
      <c r="F3">
        <f>D3*0.35</f>
        <v>72.043002732121082</v>
      </c>
      <c r="G3" s="4">
        <f>F3</f>
        <v>72.043002732121082</v>
      </c>
      <c r="H3" s="6">
        <f t="shared" ref="H3:H10" si="1">G3*10000</f>
        <v>720430.02732121083</v>
      </c>
      <c r="I3">
        <v>2</v>
      </c>
      <c r="J3" s="6">
        <f t="shared" ref="J3:J10" si="2">PI()*(I3+((B3/100)/2))^2</f>
        <v>14.793445646488976</v>
      </c>
      <c r="K3" s="6">
        <f t="shared" ref="K3:K10" si="3">(G3/J3)/2</f>
        <v>2.434963579604577</v>
      </c>
      <c r="L3" s="4">
        <f>ROUND(K3,0)/ROUND(MAX(K3,K5,K7,K9,K10),0)</f>
        <v>0.5</v>
      </c>
      <c r="M3" s="5"/>
      <c r="P3">
        <v>148.20274847750622</v>
      </c>
      <c r="Q3">
        <f t="shared" ref="Q3:Q28" si="4">P3*10000</f>
        <v>1482027.4847750622</v>
      </c>
      <c r="T3" t="s">
        <v>3</v>
      </c>
      <c r="U3">
        <v>172141.21325896215</v>
      </c>
    </row>
    <row r="4" spans="1:21" x14ac:dyDescent="0.2">
      <c r="A4" t="s">
        <v>3</v>
      </c>
      <c r="B4">
        <v>26.5</v>
      </c>
      <c r="C4">
        <v>3.5130859848767782E-3</v>
      </c>
      <c r="D4">
        <f t="shared" si="0"/>
        <v>35.130859848767784</v>
      </c>
      <c r="E4">
        <f>D4*0.33</f>
        <v>11.593183750093369</v>
      </c>
      <c r="F4">
        <f t="shared" ref="F4:F8" si="5">D4*0.4</f>
        <v>14.052343939507114</v>
      </c>
      <c r="G4" s="4">
        <f>AVERAGE(E4:F4)</f>
        <v>12.822763844800242</v>
      </c>
      <c r="H4" s="6">
        <f t="shared" si="1"/>
        <v>128227.63844800243</v>
      </c>
      <c r="I4">
        <v>0.9</v>
      </c>
      <c r="J4" s="6">
        <f t="shared" si="2"/>
        <v>3.3491144833134836</v>
      </c>
      <c r="K4" s="6">
        <f t="shared" si="3"/>
        <v>1.9143513768621458</v>
      </c>
      <c r="L4" s="4">
        <f>ROUND(K4,0)/ROUND(MAX(K2,K4,K6,K8),0)</f>
        <v>0.5</v>
      </c>
      <c r="M4" s="5"/>
      <c r="P4">
        <v>17.214121325896215</v>
      </c>
      <c r="Q4">
        <f t="shared" si="4"/>
        <v>172141.21325896215</v>
      </c>
      <c r="T4" t="s">
        <v>7</v>
      </c>
      <c r="U4">
        <v>160826.76731705875</v>
      </c>
    </row>
    <row r="5" spans="1:21" x14ac:dyDescent="0.2">
      <c r="A5" t="s">
        <v>4</v>
      </c>
      <c r="B5">
        <v>17.100000000000001</v>
      </c>
      <c r="C5">
        <v>5.0153563219152587E-3</v>
      </c>
      <c r="D5">
        <f t="shared" si="0"/>
        <v>50.153563219152588</v>
      </c>
      <c r="E5">
        <f>D5*0.29</f>
        <v>14.544533333554249</v>
      </c>
      <c r="F5">
        <f>D5*0.35</f>
        <v>17.553747126703403</v>
      </c>
      <c r="G5" s="4">
        <f>AVERAGE(E5:F5)</f>
        <v>16.049140230128828</v>
      </c>
      <c r="H5" s="6">
        <f t="shared" si="1"/>
        <v>160491.40230128827</v>
      </c>
      <c r="I5">
        <v>1.1000000000000001</v>
      </c>
      <c r="J5" s="6">
        <f t="shared" si="2"/>
        <v>4.4152265166797946</v>
      </c>
      <c r="K5" s="6">
        <f t="shared" si="3"/>
        <v>1.8174764272567399</v>
      </c>
      <c r="L5" s="4">
        <f>ROUND(K5,0)/ROUND(MAX(K3,K5,K7,K9,K10),0)</f>
        <v>0.5</v>
      </c>
      <c r="M5" s="5"/>
      <c r="P5">
        <v>36.110565517789858</v>
      </c>
      <c r="Q5">
        <f t="shared" si="4"/>
        <v>361105.65517789859</v>
      </c>
      <c r="T5" t="s">
        <v>5</v>
      </c>
      <c r="U5">
        <v>198541.58712340443</v>
      </c>
    </row>
    <row r="6" spans="1:21" x14ac:dyDescent="0.2">
      <c r="A6" t="s">
        <v>5</v>
      </c>
      <c r="B6">
        <v>24.9</v>
      </c>
      <c r="C6">
        <v>4.0518691249674379E-3</v>
      </c>
      <c r="D6">
        <f t="shared" si="0"/>
        <v>40.518691249674376</v>
      </c>
      <c r="E6">
        <f>D6*0.33</f>
        <v>13.371168112392544</v>
      </c>
      <c r="F6">
        <f t="shared" si="5"/>
        <v>16.207476499869752</v>
      </c>
      <c r="G6" s="4">
        <f>E6</f>
        <v>13.371168112392544</v>
      </c>
      <c r="H6" s="6">
        <f t="shared" si="1"/>
        <v>133711.68112392543</v>
      </c>
      <c r="I6">
        <v>1.1499999999999999</v>
      </c>
      <c r="J6" s="6">
        <f t="shared" si="2"/>
        <v>5.1030468122567436</v>
      </c>
      <c r="K6" s="6">
        <f t="shared" si="3"/>
        <v>1.310116152597016</v>
      </c>
      <c r="L6" s="4">
        <f>ROUND(K6,0)/ROUND(MAX(K2,K4,K6,K8),0)</f>
        <v>0.25</v>
      </c>
      <c r="M6" s="5"/>
      <c r="P6">
        <v>19.854158712340443</v>
      </c>
      <c r="Q6">
        <f t="shared" si="4"/>
        <v>198541.58712340443</v>
      </c>
      <c r="T6" t="s">
        <v>2</v>
      </c>
      <c r="U6">
        <v>1482027.4847750622</v>
      </c>
    </row>
    <row r="7" spans="1:21" x14ac:dyDescent="0.2">
      <c r="A7" t="s">
        <v>6</v>
      </c>
      <c r="B7">
        <v>18.399999999999999</v>
      </c>
      <c r="C7">
        <v>1.6681856990561855E-3</v>
      </c>
      <c r="D7">
        <f t="shared" si="0"/>
        <v>16.681856990561855</v>
      </c>
      <c r="E7">
        <f>D7*0.29</f>
        <v>4.8377385272629372</v>
      </c>
      <c r="F7">
        <f>D7*0.35</f>
        <v>5.8386499466966484</v>
      </c>
      <c r="G7" s="4">
        <f>E7</f>
        <v>4.8377385272629372</v>
      </c>
      <c r="H7" s="6">
        <f t="shared" si="1"/>
        <v>48377.38527262937</v>
      </c>
      <c r="I7">
        <v>1</v>
      </c>
      <c r="J7" s="6">
        <f t="shared" si="2"/>
        <v>3.7462361420702996</v>
      </c>
      <c r="K7" s="6">
        <f t="shared" si="3"/>
        <v>0.64567986958097034</v>
      </c>
      <c r="L7" s="4">
        <f>ROUND(K7,0)/ROUND(MAX(K3,K5,K7,K9,K10),0)</f>
        <v>0.25</v>
      </c>
      <c r="M7" s="5"/>
      <c r="P7">
        <v>12.010937033204534</v>
      </c>
      <c r="Q7">
        <f t="shared" si="4"/>
        <v>120109.37033204535</v>
      </c>
      <c r="T7" t="s">
        <v>4</v>
      </c>
      <c r="U7">
        <v>361105.65517789859</v>
      </c>
    </row>
    <row r="8" spans="1:21" x14ac:dyDescent="0.2">
      <c r="A8" t="s">
        <v>7</v>
      </c>
      <c r="B8">
        <v>32</v>
      </c>
      <c r="C8">
        <v>3.2821789248379334E-3</v>
      </c>
      <c r="D8">
        <f t="shared" si="0"/>
        <v>32.821789248379332</v>
      </c>
      <c r="E8">
        <f>D8*0.33</f>
        <v>10.831190451965179</v>
      </c>
      <c r="F8">
        <f t="shared" si="5"/>
        <v>13.128715699351734</v>
      </c>
      <c r="G8" s="4">
        <f>E8</f>
        <v>10.831190451965179</v>
      </c>
      <c r="H8" s="6">
        <f t="shared" si="1"/>
        <v>108311.9045196518</v>
      </c>
      <c r="I8">
        <v>1.3</v>
      </c>
      <c r="J8" s="6">
        <f t="shared" si="2"/>
        <v>6.6966189003920018</v>
      </c>
      <c r="K8" s="6">
        <f t="shared" si="3"/>
        <v>0.80870590167010636</v>
      </c>
      <c r="L8" s="4">
        <f>ROUND(K8,0)/ROUND(MAX(K2,K4,K6,K8),0)</f>
        <v>0.25</v>
      </c>
      <c r="M8" s="5"/>
      <c r="P8">
        <v>16.082676731705874</v>
      </c>
      <c r="Q8">
        <f t="shared" si="4"/>
        <v>160826.76731705875</v>
      </c>
      <c r="T8" t="s">
        <v>8</v>
      </c>
      <c r="U8">
        <v>294392.36438259232</v>
      </c>
    </row>
    <row r="9" spans="1:21" x14ac:dyDescent="0.2">
      <c r="A9" t="s">
        <v>8</v>
      </c>
      <c r="B9">
        <v>15</v>
      </c>
      <c r="C9">
        <v>4.0887828386471153E-3</v>
      </c>
      <c r="D9">
        <f t="shared" si="0"/>
        <v>40.887828386471156</v>
      </c>
      <c r="E9">
        <f>D9*0.29</f>
        <v>11.857470232076635</v>
      </c>
      <c r="F9">
        <f>D9*0.35</f>
        <v>14.310739935264904</v>
      </c>
      <c r="G9" s="4">
        <f t="shared" ref="G9:G10" si="6">E9</f>
        <v>11.857470232076635</v>
      </c>
      <c r="H9" s="6">
        <f t="shared" si="1"/>
        <v>118574.70232076634</v>
      </c>
      <c r="I9">
        <v>0.6</v>
      </c>
      <c r="J9" s="6">
        <f t="shared" si="2"/>
        <v>1.4313881527918491</v>
      </c>
      <c r="K9" s="6">
        <f t="shared" si="3"/>
        <v>4.1419478737997268</v>
      </c>
      <c r="L9" s="4">
        <f>ROUND(K9,0)/ROUND(MAX(K3,K5,K7,K9,K10),0)</f>
        <v>1</v>
      </c>
      <c r="M9" s="5"/>
      <c r="P9">
        <v>29.439236438259233</v>
      </c>
      <c r="Q9">
        <f t="shared" si="4"/>
        <v>294392.36438259232</v>
      </c>
      <c r="T9" t="s">
        <v>6</v>
      </c>
      <c r="U9">
        <v>120109.37033204535</v>
      </c>
    </row>
    <row r="10" spans="1:21" x14ac:dyDescent="0.2">
      <c r="A10" t="s">
        <v>9</v>
      </c>
      <c r="B10">
        <v>22.9</v>
      </c>
      <c r="C10">
        <v>2.0923007072908058E-3</v>
      </c>
      <c r="D10">
        <f t="shared" si="0"/>
        <v>20.92300707290806</v>
      </c>
      <c r="E10">
        <f>D10*0.29</f>
        <v>6.0676720511433366</v>
      </c>
      <c r="F10">
        <f>D10*0.35</f>
        <v>7.3230524755178203</v>
      </c>
      <c r="G10" s="4">
        <f t="shared" si="6"/>
        <v>6.0676720511433366</v>
      </c>
      <c r="H10" s="6">
        <f t="shared" si="1"/>
        <v>60676.720511433363</v>
      </c>
      <c r="I10">
        <v>0.88</v>
      </c>
      <c r="J10" s="6">
        <f t="shared" si="2"/>
        <v>3.107130167578076</v>
      </c>
      <c r="K10" s="6">
        <f t="shared" si="3"/>
        <v>0.97641098439608065</v>
      </c>
      <c r="L10" s="4">
        <f>ROUND(K10,0)/ROUND(MAX(K3,K5,K7,K9,K10),0)</f>
        <v>0.25</v>
      </c>
      <c r="M10" s="5"/>
      <c r="P10">
        <v>15.064565092493803</v>
      </c>
      <c r="Q10">
        <f t="shared" si="4"/>
        <v>150645.65092493803</v>
      </c>
      <c r="T10" t="s">
        <v>9</v>
      </c>
      <c r="U10">
        <v>150645.65092493803</v>
      </c>
    </row>
    <row r="11" spans="1:21" x14ac:dyDescent="0.2">
      <c r="L11" t="s">
        <v>47</v>
      </c>
      <c r="M11" s="5"/>
    </row>
    <row r="12" spans="1:21" x14ac:dyDescent="0.2">
      <c r="A12" t="s">
        <v>13</v>
      </c>
      <c r="M12" s="5"/>
    </row>
    <row r="13" spans="1:21" x14ac:dyDescent="0.2">
      <c r="A13" t="s">
        <v>12</v>
      </c>
    </row>
    <row r="14" spans="1:21" ht="18" customHeight="1" x14ac:dyDescent="0.2">
      <c r="A14" s="2" t="s">
        <v>15</v>
      </c>
    </row>
    <row r="15" spans="1:21" x14ac:dyDescent="0.2">
      <c r="A15" t="s">
        <v>16</v>
      </c>
    </row>
    <row r="16" spans="1:21" x14ac:dyDescent="0.2">
      <c r="A16" t="s">
        <v>17</v>
      </c>
      <c r="K16" t="s">
        <v>65</v>
      </c>
    </row>
    <row r="18" spans="1:21" x14ac:dyDescent="0.2">
      <c r="A18" t="s">
        <v>27</v>
      </c>
    </row>
    <row r="19" spans="1:21" x14ac:dyDescent="0.2">
      <c r="A19" t="s">
        <v>42</v>
      </c>
      <c r="B19" t="s">
        <v>14</v>
      </c>
      <c r="C19" t="s">
        <v>30</v>
      </c>
    </row>
    <row r="20" spans="1:21" x14ac:dyDescent="0.2">
      <c r="A20" t="s">
        <v>21</v>
      </c>
      <c r="B20" t="s">
        <v>20</v>
      </c>
      <c r="O20" t="s">
        <v>1</v>
      </c>
      <c r="P20">
        <v>116.36459188896598</v>
      </c>
      <c r="Q20">
        <f t="shared" si="4"/>
        <v>1163645.9188896597</v>
      </c>
      <c r="T20" t="s">
        <v>1</v>
      </c>
      <c r="U20">
        <v>1163645.9188896597</v>
      </c>
    </row>
    <row r="21" spans="1:21" x14ac:dyDescent="0.2">
      <c r="B21" s="3" t="s">
        <v>19</v>
      </c>
      <c r="O21" t="s">
        <v>2</v>
      </c>
      <c r="P21">
        <v>72.043002732121082</v>
      </c>
      <c r="Q21">
        <f t="shared" si="4"/>
        <v>720430.02732121083</v>
      </c>
      <c r="T21" t="s">
        <v>3</v>
      </c>
      <c r="U21">
        <v>140523.43939507115</v>
      </c>
    </row>
    <row r="22" spans="1:21" x14ac:dyDescent="0.2">
      <c r="A22" t="s">
        <v>26</v>
      </c>
      <c r="I22" t="s">
        <v>70</v>
      </c>
      <c r="O22" t="s">
        <v>3</v>
      </c>
      <c r="P22">
        <v>14.052343939507114</v>
      </c>
      <c r="Q22">
        <f t="shared" si="4"/>
        <v>140523.43939507115</v>
      </c>
      <c r="T22" t="s">
        <v>7</v>
      </c>
      <c r="U22">
        <v>131287.15699351733</v>
      </c>
    </row>
    <row r="23" spans="1:21" x14ac:dyDescent="0.2">
      <c r="A23" t="s">
        <v>22</v>
      </c>
      <c r="B23" t="s">
        <v>23</v>
      </c>
      <c r="E23" s="5">
        <f>AVERAGE(0.47,0.54,0.45)</f>
        <v>0.48666666666666664</v>
      </c>
      <c r="G23" t="s">
        <v>66</v>
      </c>
      <c r="H23" t="s">
        <v>67</v>
      </c>
      <c r="I23" t="s">
        <v>71</v>
      </c>
      <c r="O23" t="s">
        <v>4</v>
      </c>
      <c r="P23">
        <v>17.553747126703403</v>
      </c>
      <c r="Q23">
        <f t="shared" si="4"/>
        <v>175537.47126703404</v>
      </c>
      <c r="T23" t="s">
        <v>5</v>
      </c>
      <c r="U23">
        <v>162074.76499869753</v>
      </c>
    </row>
    <row r="24" spans="1:21" x14ac:dyDescent="0.2">
      <c r="A24" t="s">
        <v>24</v>
      </c>
      <c r="B24" t="s">
        <v>25</v>
      </c>
      <c r="G24" t="s">
        <v>68</v>
      </c>
      <c r="H24" t="s">
        <v>69</v>
      </c>
      <c r="I24" t="s">
        <v>72</v>
      </c>
      <c r="O24" t="s">
        <v>5</v>
      </c>
      <c r="P24">
        <v>16.207476499869752</v>
      </c>
      <c r="Q24">
        <f t="shared" si="4"/>
        <v>162074.76499869753</v>
      </c>
      <c r="T24" t="s">
        <v>2</v>
      </c>
      <c r="U24">
        <v>720430.02732121083</v>
      </c>
    </row>
    <row r="25" spans="1:21" x14ac:dyDescent="0.2">
      <c r="A25" t="s">
        <v>29</v>
      </c>
      <c r="B25" t="s">
        <v>28</v>
      </c>
      <c r="D25" t="s">
        <v>40</v>
      </c>
      <c r="O25" t="s">
        <v>6</v>
      </c>
      <c r="P25">
        <v>5.8386499466966484</v>
      </c>
      <c r="Q25">
        <f t="shared" si="4"/>
        <v>58386.499466966481</v>
      </c>
      <c r="T25" t="s">
        <v>4</v>
      </c>
      <c r="U25">
        <v>175537.47126703404</v>
      </c>
    </row>
    <row r="26" spans="1:21" x14ac:dyDescent="0.2">
      <c r="A26" t="s">
        <v>31</v>
      </c>
      <c r="O26" t="s">
        <v>7</v>
      </c>
      <c r="P26">
        <v>13.128715699351734</v>
      </c>
      <c r="Q26">
        <f t="shared" si="4"/>
        <v>131287.15699351733</v>
      </c>
      <c r="T26" t="s">
        <v>8</v>
      </c>
      <c r="U26">
        <v>143107.39935264902</v>
      </c>
    </row>
    <row r="27" spans="1:21" x14ac:dyDescent="0.2">
      <c r="A27" t="s">
        <v>51</v>
      </c>
      <c r="B27" t="s">
        <v>50</v>
      </c>
      <c r="C27" t="s">
        <v>49</v>
      </c>
      <c r="D27" t="s">
        <v>49</v>
      </c>
      <c r="O27" t="s">
        <v>8</v>
      </c>
      <c r="P27">
        <v>14.310739935264904</v>
      </c>
      <c r="Q27">
        <f t="shared" si="4"/>
        <v>143107.39935264902</v>
      </c>
      <c r="T27" t="s">
        <v>6</v>
      </c>
      <c r="U27">
        <v>58386.499466966481</v>
      </c>
    </row>
    <row r="28" spans="1:21" x14ac:dyDescent="0.2">
      <c r="A28" t="s">
        <v>52</v>
      </c>
      <c r="B28" t="s">
        <v>53</v>
      </c>
      <c r="O28" t="s">
        <v>9</v>
      </c>
      <c r="P28">
        <v>7.3230524755178203</v>
      </c>
      <c r="Q28">
        <f t="shared" si="4"/>
        <v>73230.524755178209</v>
      </c>
      <c r="T28" t="s">
        <v>9</v>
      </c>
      <c r="U28">
        <v>73230.524755178209</v>
      </c>
    </row>
    <row r="29" spans="1:21" x14ac:dyDescent="0.2">
      <c r="A29" t="s">
        <v>32</v>
      </c>
    </row>
    <row r="30" spans="1:21" x14ac:dyDescent="0.2">
      <c r="A30" t="s">
        <v>33</v>
      </c>
    </row>
    <row r="31" spans="1:21" x14ac:dyDescent="0.2">
      <c r="A31" t="s">
        <v>34</v>
      </c>
    </row>
    <row r="33" spans="1:6" x14ac:dyDescent="0.2">
      <c r="A33" t="s">
        <v>35</v>
      </c>
      <c r="B33" t="s">
        <v>36</v>
      </c>
    </row>
    <row r="35" spans="1:6" x14ac:dyDescent="0.2">
      <c r="E35" t="s">
        <v>37</v>
      </c>
      <c r="F35" t="s">
        <v>38</v>
      </c>
    </row>
    <row r="37" spans="1:6" x14ac:dyDescent="0.2">
      <c r="A37" t="s">
        <v>58</v>
      </c>
    </row>
    <row r="38" spans="1:6" x14ac:dyDescent="0.2">
      <c r="A38" t="s">
        <v>59</v>
      </c>
      <c r="B38" t="s">
        <v>56</v>
      </c>
      <c r="C38" t="s">
        <v>57</v>
      </c>
      <c r="D38" t="s">
        <v>62</v>
      </c>
      <c r="E38" t="s">
        <v>63</v>
      </c>
    </row>
    <row r="39" spans="1:6" x14ac:dyDescent="0.2">
      <c r="A39" s="7" t="s">
        <v>55</v>
      </c>
      <c r="B39">
        <f>49.5+7.3</f>
        <v>56.8</v>
      </c>
      <c r="C39">
        <f>49.5-7.3</f>
        <v>42.2</v>
      </c>
      <c r="D39" s="8">
        <f>49.5/0.32</f>
        <v>154.6875</v>
      </c>
      <c r="E39">
        <v>290</v>
      </c>
    </row>
    <row r="40" spans="1:6" x14ac:dyDescent="0.2">
      <c r="A40" s="7" t="s">
        <v>54</v>
      </c>
      <c r="B40">
        <f>94.5+18.3</f>
        <v>112.8</v>
      </c>
      <c r="C40">
        <f>94.5-18.3</f>
        <v>76.2</v>
      </c>
      <c r="D40" s="8">
        <f>94.5/0.38</f>
        <v>248.68421052631578</v>
      </c>
    </row>
    <row r="41" spans="1:6" x14ac:dyDescent="0.2">
      <c r="A41" s="7" t="s">
        <v>60</v>
      </c>
      <c r="D41" s="8"/>
    </row>
    <row r="42" spans="1:6" x14ac:dyDescent="0.2">
      <c r="A42" s="7" t="s">
        <v>61</v>
      </c>
      <c r="B42">
        <f>309+41</f>
        <v>350</v>
      </c>
      <c r="C42">
        <f>309-41</f>
        <v>268</v>
      </c>
      <c r="D42" s="8">
        <f>309/0.44</f>
        <v>702.27272727272725</v>
      </c>
    </row>
    <row r="43" spans="1:6" x14ac:dyDescent="0.2">
      <c r="A43" s="7"/>
    </row>
    <row r="44" spans="1:6" x14ac:dyDescent="0.2">
      <c r="A44" s="7"/>
    </row>
  </sheetData>
  <hyperlinks>
    <hyperlink ref="B21" r:id="rId1" xr:uid="{DDB05760-87CF-FD4B-9CF2-96B937ED64D6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5BD6-E613-4043-895E-7D9E95FAB84D}">
  <dimension ref="A1:P90"/>
  <sheetViews>
    <sheetView workbookViewId="0">
      <selection activeCell="I19" sqref="I19"/>
    </sheetView>
  </sheetViews>
  <sheetFormatPr baseColWidth="10" defaultRowHeight="16" x14ac:dyDescent="0.2"/>
  <cols>
    <col min="4" max="5" width="15.6640625" bestFit="1" customWidth="1"/>
    <col min="6" max="6" width="12.6640625" customWidth="1"/>
    <col min="7" max="7" width="12" customWidth="1"/>
    <col min="11" max="11" width="11.1640625" customWidth="1"/>
  </cols>
  <sheetData>
    <row r="1" spans="1:16" x14ac:dyDescent="0.2">
      <c r="A1" t="s">
        <v>0</v>
      </c>
      <c r="B1" t="s">
        <v>73</v>
      </c>
      <c r="C1" t="s">
        <v>93</v>
      </c>
      <c r="D1" t="s">
        <v>94</v>
      </c>
      <c r="E1" t="s">
        <v>91</v>
      </c>
      <c r="F1" t="s">
        <v>92</v>
      </c>
      <c r="G1" t="s">
        <v>95</v>
      </c>
      <c r="I1" t="s">
        <v>97</v>
      </c>
      <c r="J1" t="s">
        <v>96</v>
      </c>
      <c r="N1" t="s">
        <v>74</v>
      </c>
      <c r="O1" t="s">
        <v>75</v>
      </c>
      <c r="P1" t="s">
        <v>76</v>
      </c>
    </row>
    <row r="2" spans="1:16" x14ac:dyDescent="0.2">
      <c r="A2" t="s">
        <v>79</v>
      </c>
      <c r="B2">
        <v>2021</v>
      </c>
      <c r="C2" s="5">
        <v>11954.445571</v>
      </c>
      <c r="D2" s="5">
        <v>5057.7224189999997</v>
      </c>
      <c r="E2" s="5">
        <v>2.7035390000000001</v>
      </c>
      <c r="F2" s="5">
        <v>1</v>
      </c>
      <c r="G2" s="5">
        <v>0.89158599999999999</v>
      </c>
      <c r="I2" s="10">
        <f>1/D2</f>
        <v>1.9771745405468841E-4</v>
      </c>
      <c r="J2" s="4">
        <v>1.7436380219519366E-3</v>
      </c>
      <c r="N2" s="5">
        <v>1954.029016</v>
      </c>
      <c r="O2" s="5">
        <v>27459.475343999999</v>
      </c>
      <c r="P2" s="9">
        <v>44401</v>
      </c>
    </row>
    <row r="3" spans="1:16" x14ac:dyDescent="0.2">
      <c r="A3" t="s">
        <v>80</v>
      </c>
      <c r="B3">
        <v>2021</v>
      </c>
      <c r="C3" s="5">
        <v>7718.5957060000001</v>
      </c>
      <c r="D3" s="5">
        <v>1987.2511300000001</v>
      </c>
      <c r="E3" s="5">
        <v>1.5</v>
      </c>
      <c r="F3" s="5">
        <v>1</v>
      </c>
      <c r="G3" s="5">
        <v>0.69306999999999996</v>
      </c>
      <c r="I3" s="4">
        <f t="shared" ref="I3:I10" si="0">1/D3</f>
        <v>5.0320766454917045E-4</v>
      </c>
      <c r="J3" s="4">
        <v>3.8217153107102117E-3</v>
      </c>
      <c r="N3" s="5">
        <v>5.5998960000000002</v>
      </c>
      <c r="O3" s="5">
        <v>75628.394404000006</v>
      </c>
      <c r="P3" s="9">
        <v>44414</v>
      </c>
    </row>
    <row r="4" spans="1:16" x14ac:dyDescent="0.2">
      <c r="A4" t="s">
        <v>81</v>
      </c>
      <c r="B4">
        <v>2021</v>
      </c>
      <c r="C4" s="5">
        <v>51015.825582999998</v>
      </c>
      <c r="D4" s="5">
        <v>10000</v>
      </c>
      <c r="E4" s="5">
        <v>1.5</v>
      </c>
      <c r="F4" s="5">
        <v>1.10012</v>
      </c>
      <c r="G4" s="5">
        <v>-0.26693299999999998</v>
      </c>
      <c r="I4" s="10">
        <f t="shared" si="0"/>
        <v>1E-4</v>
      </c>
      <c r="J4" s="10">
        <v>5.9999639107377741E-4</v>
      </c>
      <c r="N4" s="5">
        <v>29262.454245000001</v>
      </c>
      <c r="O4" s="5">
        <v>98865.462929999994</v>
      </c>
      <c r="P4" s="9">
        <v>44468</v>
      </c>
    </row>
    <row r="5" spans="1:16" x14ac:dyDescent="0.2">
      <c r="A5" t="s">
        <v>78</v>
      </c>
      <c r="B5">
        <v>2022</v>
      </c>
      <c r="C5" s="5">
        <v>194.774191</v>
      </c>
      <c r="D5" s="5">
        <v>76.853077999999996</v>
      </c>
      <c r="E5" s="5">
        <v>1.5</v>
      </c>
      <c r="F5" s="5">
        <v>1.2369810000000001</v>
      </c>
      <c r="G5" s="5">
        <v>0.63290299999999999</v>
      </c>
      <c r="I5" s="5">
        <f>1/D5</f>
        <v>1.3011840592773657E-2</v>
      </c>
      <c r="J5" s="5">
        <v>2.9728747109417301E-2</v>
      </c>
      <c r="N5" s="5">
        <v>0.27993099999999999</v>
      </c>
      <c r="O5" s="5">
        <v>443.40022099999999</v>
      </c>
      <c r="P5" s="9">
        <v>44785</v>
      </c>
    </row>
    <row r="6" spans="1:16" x14ac:dyDescent="0.2">
      <c r="A6" t="s">
        <v>82</v>
      </c>
      <c r="B6">
        <v>2022</v>
      </c>
      <c r="C6" s="5">
        <v>8365.1468540000005</v>
      </c>
      <c r="D6" s="5">
        <v>1715.0656980000001</v>
      </c>
      <c r="E6" s="5">
        <v>1.7536</v>
      </c>
      <c r="F6" s="5">
        <v>1</v>
      </c>
      <c r="G6" s="5">
        <v>6.6167000000000004E-2</v>
      </c>
      <c r="I6" s="4">
        <f t="shared" si="0"/>
        <v>5.8306804291295429E-4</v>
      </c>
      <c r="J6" s="4">
        <v>4.5503012218842155E-3</v>
      </c>
      <c r="N6" s="5">
        <v>1966.611594</v>
      </c>
      <c r="O6" s="5">
        <v>91654.913239000001</v>
      </c>
      <c r="P6" s="9">
        <v>44785</v>
      </c>
    </row>
    <row r="7" spans="1:16" x14ac:dyDescent="0.2">
      <c r="A7" t="s">
        <v>79</v>
      </c>
      <c r="B7">
        <v>2022</v>
      </c>
      <c r="C7" s="5">
        <v>10797.580523000001</v>
      </c>
      <c r="D7" s="5">
        <v>3018.2630220000001</v>
      </c>
      <c r="E7" s="5">
        <v>1.5</v>
      </c>
      <c r="F7" s="5">
        <v>1.2162520000000001</v>
      </c>
      <c r="G7" s="5">
        <v>0.78351800000000005</v>
      </c>
      <c r="I7" s="10">
        <f t="shared" si="0"/>
        <v>3.313163871773399E-4</v>
      </c>
      <c r="J7" s="4">
        <v>1.7436380219519366E-3</v>
      </c>
      <c r="N7" s="5">
        <v>7.5339720000000003</v>
      </c>
      <c r="O7" s="5">
        <v>33480.581667999999</v>
      </c>
      <c r="P7" s="9">
        <v>44832</v>
      </c>
    </row>
    <row r="8" spans="1:16" x14ac:dyDescent="0.2">
      <c r="A8" t="s">
        <v>83</v>
      </c>
      <c r="B8">
        <v>2022</v>
      </c>
      <c r="C8" s="5">
        <v>233.26458099999999</v>
      </c>
      <c r="D8" s="5">
        <v>170.92941500000001</v>
      </c>
      <c r="E8" s="5">
        <v>1.5</v>
      </c>
      <c r="F8" s="5">
        <v>2.2246939999999999</v>
      </c>
      <c r="G8" s="5">
        <v>0.51824499999999996</v>
      </c>
      <c r="I8" s="5">
        <f t="shared" si="0"/>
        <v>5.8503681183253329E-3</v>
      </c>
      <c r="J8" s="5">
        <v>3.5397262397596434E-2</v>
      </c>
      <c r="N8" s="5">
        <v>0.28378599999999998</v>
      </c>
      <c r="O8" s="5">
        <v>810.125045</v>
      </c>
      <c r="P8" s="9">
        <v>44832</v>
      </c>
    </row>
    <row r="9" spans="1:16" x14ac:dyDescent="0.2">
      <c r="A9" t="s">
        <v>84</v>
      </c>
      <c r="B9">
        <v>2022</v>
      </c>
      <c r="C9" s="5">
        <v>8859.9314919999997</v>
      </c>
      <c r="D9" s="5">
        <v>3573.3654540000002</v>
      </c>
      <c r="E9" s="5">
        <v>1.5</v>
      </c>
      <c r="F9" s="5">
        <v>1.07125</v>
      </c>
      <c r="G9" s="5">
        <v>0.298624</v>
      </c>
      <c r="I9" s="10">
        <f t="shared" si="0"/>
        <v>2.7984823071499921E-4</v>
      </c>
      <c r="J9" s="4">
        <v>2.1963605779844759E-3</v>
      </c>
      <c r="N9" s="5">
        <v>5.1951580000000002</v>
      </c>
      <c r="O9" s="5">
        <v>104184.68584000001</v>
      </c>
      <c r="P9" s="9">
        <v>44733</v>
      </c>
    </row>
    <row r="10" spans="1:16" x14ac:dyDescent="0.2">
      <c r="A10" t="s">
        <v>85</v>
      </c>
      <c r="B10">
        <v>2022</v>
      </c>
      <c r="C10" s="5">
        <v>27814.942304</v>
      </c>
      <c r="D10" s="5">
        <v>10000</v>
      </c>
      <c r="E10" s="5">
        <v>1.5</v>
      </c>
      <c r="F10" s="5">
        <v>1</v>
      </c>
      <c r="G10" s="5">
        <v>0.56824200000000002</v>
      </c>
      <c r="I10" s="10">
        <f t="shared" si="0"/>
        <v>1E-4</v>
      </c>
      <c r="J10" s="10">
        <v>6.3176764710981591E-4</v>
      </c>
      <c r="N10" s="5">
        <v>15889.454521</v>
      </c>
      <c r="O10" s="5">
        <v>34786.395805</v>
      </c>
      <c r="P10" s="9">
        <v>44722</v>
      </c>
    </row>
    <row r="12" spans="1:16" x14ac:dyDescent="0.2">
      <c r="F12" t="s">
        <v>77</v>
      </c>
    </row>
    <row r="13" spans="1:16" x14ac:dyDescent="0.2">
      <c r="A13" t="s">
        <v>0</v>
      </c>
      <c r="B13" t="s">
        <v>73</v>
      </c>
      <c r="C13" t="s">
        <v>86</v>
      </c>
      <c r="D13" t="s">
        <v>93</v>
      </c>
      <c r="E13" t="s">
        <v>90</v>
      </c>
      <c r="F13" t="s">
        <v>91</v>
      </c>
      <c r="G13" t="s">
        <v>92</v>
      </c>
      <c r="H13" t="s">
        <v>95</v>
      </c>
    </row>
    <row r="14" spans="1:16" x14ac:dyDescent="0.2">
      <c r="A14" t="s">
        <v>79</v>
      </c>
      <c r="B14">
        <v>2021</v>
      </c>
      <c r="C14" t="s">
        <v>89</v>
      </c>
      <c r="D14" s="5">
        <v>7091.8219099999997</v>
      </c>
      <c r="E14" s="5">
        <v>2885.2899889999999</v>
      </c>
      <c r="F14" s="5">
        <v>1.575431</v>
      </c>
      <c r="G14" s="5">
        <v>1</v>
      </c>
      <c r="H14" s="5">
        <v>0.82927200000000001</v>
      </c>
    </row>
    <row r="15" spans="1:16" x14ac:dyDescent="0.2">
      <c r="A15" t="s">
        <v>79</v>
      </c>
      <c r="B15">
        <v>2021</v>
      </c>
      <c r="C15" t="s">
        <v>87</v>
      </c>
      <c r="D15" s="5">
        <v>17445.410596999998</v>
      </c>
      <c r="E15" s="5">
        <v>5267.1487500000003</v>
      </c>
      <c r="F15" s="5">
        <v>2.8080229999999999</v>
      </c>
      <c r="G15" s="5">
        <v>1</v>
      </c>
      <c r="H15" s="5">
        <v>0.91115900000000005</v>
      </c>
    </row>
    <row r="16" spans="1:16" x14ac:dyDescent="0.2">
      <c r="A16" t="s">
        <v>79</v>
      </c>
      <c r="B16">
        <v>2021</v>
      </c>
      <c r="C16" t="s">
        <v>88</v>
      </c>
      <c r="D16" s="5">
        <v>12411.511274</v>
      </c>
      <c r="E16" s="5">
        <v>9504.9789400000009</v>
      </c>
      <c r="F16" s="5">
        <v>3.6240130000000002</v>
      </c>
      <c r="G16" s="5">
        <v>2.394882</v>
      </c>
      <c r="H16" s="5">
        <v>0.64861999999999997</v>
      </c>
    </row>
    <row r="17" spans="1:8" x14ac:dyDescent="0.2">
      <c r="A17" t="s">
        <v>80</v>
      </c>
      <c r="B17">
        <v>2021</v>
      </c>
      <c r="C17" t="s">
        <v>89</v>
      </c>
      <c r="D17" s="5">
        <v>3268.4179049999998</v>
      </c>
      <c r="E17" s="5">
        <v>1322.1982290000001</v>
      </c>
      <c r="F17" s="5">
        <v>1.9638990000000001</v>
      </c>
      <c r="G17" s="5">
        <v>1</v>
      </c>
      <c r="H17" s="5">
        <v>0.89977499999999999</v>
      </c>
    </row>
    <row r="18" spans="1:8" x14ac:dyDescent="0.2">
      <c r="A18" t="s">
        <v>80</v>
      </c>
      <c r="B18">
        <v>2021</v>
      </c>
      <c r="C18" t="s">
        <v>87</v>
      </c>
      <c r="D18" s="5">
        <v>15579.044862999999</v>
      </c>
      <c r="E18" s="5">
        <v>3141.819665</v>
      </c>
      <c r="F18" s="5">
        <v>1.6944060000000001</v>
      </c>
      <c r="G18" s="5">
        <v>1</v>
      </c>
      <c r="H18" s="5">
        <v>0.75262099999999998</v>
      </c>
    </row>
    <row r="19" spans="1:8" x14ac:dyDescent="0.2">
      <c r="A19" t="s">
        <v>80</v>
      </c>
      <c r="B19">
        <v>2021</v>
      </c>
      <c r="C19" t="s">
        <v>88</v>
      </c>
      <c r="D19" s="5">
        <v>3497.1542060000002</v>
      </c>
      <c r="E19" s="5">
        <v>1863.594333</v>
      </c>
      <c r="F19" s="5">
        <v>1.5</v>
      </c>
      <c r="G19" s="5">
        <v>2.0392549999999998</v>
      </c>
      <c r="H19" s="5">
        <v>0.75977899999999998</v>
      </c>
    </row>
    <row r="20" spans="1:8" x14ac:dyDescent="0.2">
      <c r="A20" t="s">
        <v>81</v>
      </c>
      <c r="B20">
        <v>2021</v>
      </c>
      <c r="C20" t="s">
        <v>87</v>
      </c>
      <c r="D20" s="5">
        <v>53519.494865000001</v>
      </c>
      <c r="E20" s="5">
        <v>10000</v>
      </c>
      <c r="F20" s="5">
        <v>1.5</v>
      </c>
      <c r="G20" s="5">
        <v>1.0721309999999999</v>
      </c>
      <c r="H20" s="5">
        <v>-0.126717</v>
      </c>
    </row>
    <row r="21" spans="1:8" x14ac:dyDescent="0.2">
      <c r="A21" t="s">
        <v>81</v>
      </c>
      <c r="B21">
        <v>2021</v>
      </c>
      <c r="C21" t="s">
        <v>88</v>
      </c>
      <c r="D21" s="5">
        <v>49711.831166000004</v>
      </c>
      <c r="E21" s="5">
        <v>10000</v>
      </c>
      <c r="F21" s="5">
        <v>1.5</v>
      </c>
      <c r="G21" s="5">
        <v>1.1409720000000001</v>
      </c>
      <c r="H21" s="5">
        <v>-0.332756</v>
      </c>
    </row>
    <row r="22" spans="1:8" x14ac:dyDescent="0.2">
      <c r="A22" t="s">
        <v>78</v>
      </c>
      <c r="B22">
        <v>2022</v>
      </c>
      <c r="C22" t="s">
        <v>89</v>
      </c>
      <c r="D22" s="5">
        <v>115.014625</v>
      </c>
      <c r="E22" s="5">
        <v>89.689601999999994</v>
      </c>
      <c r="F22" s="5">
        <v>1.5</v>
      </c>
      <c r="G22" s="5">
        <v>2.380207</v>
      </c>
      <c r="H22" s="5">
        <v>0.57854000000000005</v>
      </c>
    </row>
    <row r="23" spans="1:8" x14ac:dyDescent="0.2">
      <c r="A23" t="s">
        <v>78</v>
      </c>
      <c r="B23">
        <v>2022</v>
      </c>
      <c r="C23" t="s">
        <v>87</v>
      </c>
      <c r="D23" s="5">
        <v>332.33474699999999</v>
      </c>
      <c r="E23" s="5">
        <v>286.234422</v>
      </c>
      <c r="F23" s="5">
        <v>2.7847179999999998</v>
      </c>
      <c r="G23" s="5">
        <v>5.9962530000000003</v>
      </c>
      <c r="H23" s="5">
        <v>0.35638799999999998</v>
      </c>
    </row>
    <row r="24" spans="1:8" x14ac:dyDescent="0.2">
      <c r="A24" t="s">
        <v>78</v>
      </c>
      <c r="B24">
        <v>2022</v>
      </c>
      <c r="C24" t="s">
        <v>88</v>
      </c>
      <c r="D24" s="5">
        <v>111.62457999999999</v>
      </c>
      <c r="E24" s="5">
        <v>64.484920000000002</v>
      </c>
      <c r="F24" s="5">
        <v>1.5</v>
      </c>
      <c r="G24" s="5">
        <v>1.4035709999999999</v>
      </c>
      <c r="H24" s="5">
        <v>0.16296099999999999</v>
      </c>
    </row>
    <row r="25" spans="1:8" x14ac:dyDescent="0.2">
      <c r="A25" t="s">
        <v>82</v>
      </c>
      <c r="B25">
        <v>2022</v>
      </c>
      <c r="C25" t="s">
        <v>89</v>
      </c>
      <c r="D25" s="5">
        <v>4445.8501340000003</v>
      </c>
      <c r="E25" s="5">
        <v>1495.024056</v>
      </c>
      <c r="F25" s="5">
        <v>2.2721269999999998</v>
      </c>
      <c r="G25" s="5">
        <v>1</v>
      </c>
      <c r="H25" s="5">
        <v>0.86887800000000004</v>
      </c>
    </row>
    <row r="26" spans="1:8" x14ac:dyDescent="0.2">
      <c r="A26" t="s">
        <v>82</v>
      </c>
      <c r="B26">
        <v>2022</v>
      </c>
      <c r="C26" t="s">
        <v>87</v>
      </c>
      <c r="D26" s="5">
        <v>11848.96616</v>
      </c>
      <c r="E26" s="5">
        <v>4196.1348980000002</v>
      </c>
      <c r="F26" s="5">
        <v>2.8731429999999998</v>
      </c>
      <c r="G26" s="5">
        <v>1</v>
      </c>
      <c r="H26" s="5">
        <v>1.6847000000000001E-2</v>
      </c>
    </row>
    <row r="27" spans="1:8" x14ac:dyDescent="0.2">
      <c r="A27" t="s">
        <v>79</v>
      </c>
      <c r="B27">
        <v>2022</v>
      </c>
      <c r="C27" t="s">
        <v>89</v>
      </c>
      <c r="D27" s="5">
        <v>6373.6449149999999</v>
      </c>
      <c r="E27" s="5">
        <v>2503.084906</v>
      </c>
      <c r="F27" s="5">
        <v>1.5</v>
      </c>
      <c r="G27" s="5">
        <v>1.318506</v>
      </c>
      <c r="H27" s="5">
        <v>0.78661499999999995</v>
      </c>
    </row>
    <row r="28" spans="1:8" x14ac:dyDescent="0.2">
      <c r="A28" t="s">
        <v>79</v>
      </c>
      <c r="B28">
        <v>2022</v>
      </c>
      <c r="C28" t="s">
        <v>87</v>
      </c>
      <c r="D28" s="5">
        <v>5771.351404</v>
      </c>
      <c r="E28" s="5">
        <v>2063.1018829999998</v>
      </c>
      <c r="F28" s="5">
        <v>1.5</v>
      </c>
      <c r="G28" s="5">
        <v>1.466194</v>
      </c>
      <c r="H28" s="5">
        <v>0.644617</v>
      </c>
    </row>
    <row r="29" spans="1:8" x14ac:dyDescent="0.2">
      <c r="A29" t="s">
        <v>79</v>
      </c>
      <c r="B29">
        <v>2022</v>
      </c>
      <c r="C29" t="s">
        <v>88</v>
      </c>
      <c r="D29" s="5">
        <v>16554.834938</v>
      </c>
      <c r="E29" s="5">
        <v>4022.3745530000001</v>
      </c>
      <c r="F29" s="5">
        <v>1.5061990000000001</v>
      </c>
      <c r="G29" s="5">
        <v>1</v>
      </c>
      <c r="H29" s="5">
        <v>0.78653399999999996</v>
      </c>
    </row>
    <row r="30" spans="1:8" x14ac:dyDescent="0.2">
      <c r="A30" t="s">
        <v>83</v>
      </c>
      <c r="B30">
        <v>2022</v>
      </c>
      <c r="C30" t="s">
        <v>89</v>
      </c>
      <c r="D30" s="5">
        <v>75.523387999999997</v>
      </c>
      <c r="E30" s="5">
        <v>67.824287999999996</v>
      </c>
      <c r="F30" s="5">
        <v>1.5</v>
      </c>
      <c r="G30" s="5">
        <v>1.576857</v>
      </c>
      <c r="H30" s="5">
        <v>0.253832</v>
      </c>
    </row>
    <row r="31" spans="1:8" x14ac:dyDescent="0.2">
      <c r="A31" t="s">
        <v>83</v>
      </c>
      <c r="B31">
        <v>2022</v>
      </c>
      <c r="C31" t="s">
        <v>88</v>
      </c>
      <c r="D31" s="5">
        <v>391.00577399999997</v>
      </c>
      <c r="E31" s="5">
        <v>196.64265700000001</v>
      </c>
      <c r="F31" s="5">
        <v>1.5</v>
      </c>
      <c r="G31" s="5">
        <v>1.5582750000000001</v>
      </c>
      <c r="H31" s="5">
        <v>0.419769</v>
      </c>
    </row>
    <row r="32" spans="1:8" x14ac:dyDescent="0.2">
      <c r="A32" t="s">
        <v>84</v>
      </c>
      <c r="B32">
        <v>2022</v>
      </c>
      <c r="C32" t="s">
        <v>89</v>
      </c>
      <c r="D32" s="5">
        <v>11544.041917</v>
      </c>
      <c r="E32" s="5">
        <v>3982.4313379999999</v>
      </c>
      <c r="F32" s="5">
        <v>1.5</v>
      </c>
      <c r="G32" s="5">
        <v>1.0028109999999999</v>
      </c>
      <c r="H32" s="5">
        <v>0.24499699999999999</v>
      </c>
    </row>
    <row r="33" spans="1:8" x14ac:dyDescent="0.2">
      <c r="A33" t="s">
        <v>84</v>
      </c>
      <c r="B33">
        <v>2022</v>
      </c>
      <c r="C33" t="s">
        <v>88</v>
      </c>
      <c r="D33" s="5">
        <v>2994.6531570000002</v>
      </c>
      <c r="E33" s="5">
        <v>2274.8755879999999</v>
      </c>
      <c r="F33" s="5">
        <v>1.5</v>
      </c>
      <c r="G33" s="5">
        <v>2.14113</v>
      </c>
      <c r="H33" s="5">
        <v>0.36804399999999998</v>
      </c>
    </row>
    <row r="34" spans="1:8" x14ac:dyDescent="0.2">
      <c r="A34" t="s">
        <v>85</v>
      </c>
      <c r="B34">
        <v>2022</v>
      </c>
      <c r="C34" t="s">
        <v>89</v>
      </c>
      <c r="D34" s="5">
        <v>27814.942304</v>
      </c>
      <c r="E34" s="5">
        <v>10000</v>
      </c>
      <c r="F34" s="5">
        <v>1.5</v>
      </c>
      <c r="G34" s="5">
        <v>1</v>
      </c>
      <c r="H34" s="5">
        <v>0.56824200000000002</v>
      </c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2" x14ac:dyDescent="0.2">
      <c r="B81" s="9"/>
    </row>
    <row r="82" spans="2:2" x14ac:dyDescent="0.2">
      <c r="B82" s="9"/>
    </row>
    <row r="83" spans="2:2" x14ac:dyDescent="0.2">
      <c r="B83" s="9"/>
    </row>
    <row r="84" spans="2:2" x14ac:dyDescent="0.2">
      <c r="B84" s="9"/>
    </row>
    <row r="85" spans="2:2" x14ac:dyDescent="0.2">
      <c r="B85" s="9"/>
    </row>
    <row r="86" spans="2:2" x14ac:dyDescent="0.2">
      <c r="B86" s="9"/>
    </row>
    <row r="87" spans="2:2" x14ac:dyDescent="0.2">
      <c r="B87" s="9"/>
    </row>
    <row r="88" spans="2:2" x14ac:dyDescent="0.2">
      <c r="B88" s="9"/>
    </row>
    <row r="89" spans="2:2" x14ac:dyDescent="0.2">
      <c r="B89" s="9"/>
    </row>
    <row r="90" spans="2:2" x14ac:dyDescent="0.2">
      <c r="B9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Weibull-resistance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Roldin Nicolau</dc:creator>
  <cp:lastModifiedBy>Estefania Roldin Nicolau</cp:lastModifiedBy>
  <dcterms:created xsi:type="dcterms:W3CDTF">2025-05-05T19:06:01Z</dcterms:created>
  <dcterms:modified xsi:type="dcterms:W3CDTF">2025-10-23T17:25:37Z</dcterms:modified>
</cp:coreProperties>
</file>