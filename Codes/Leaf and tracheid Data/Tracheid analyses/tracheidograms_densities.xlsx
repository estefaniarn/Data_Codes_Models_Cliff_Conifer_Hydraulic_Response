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faniaroldannicolau/Documents/GitHub/Data_Wasootch/Tracheid analyses/"/>
    </mc:Choice>
  </mc:AlternateContent>
  <xr:revisionPtr revIDLastSave="0" documentId="13_ncr:1_{0A933914-AA6B-AB49-ACD8-2B2038F61317}" xr6:coauthVersionLast="47" xr6:coauthVersionMax="47" xr10:uidLastSave="{00000000-0000-0000-0000-000000000000}"/>
  <bookViews>
    <workbookView xWindow="0" yWindow="500" windowWidth="27260" windowHeight="15180" xr2:uid="{A41E7153-6206-4449-9ECB-1277916B16B5}"/>
  </bookViews>
  <sheets>
    <sheet name="Sheet1" sheetId="1" r:id="rId1"/>
    <sheet name="Densi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3" i="1" l="1"/>
  <c r="J132" i="1"/>
  <c r="H132" i="1" l="1"/>
  <c r="H78" i="2" l="1"/>
  <c r="G78" i="2"/>
  <c r="F85" i="2"/>
  <c r="D85" i="2"/>
  <c r="F80" i="2"/>
  <c r="D80" i="2"/>
  <c r="F79" i="2"/>
  <c r="F78" i="2"/>
  <c r="D84" i="2"/>
  <c r="F84" i="2" s="1"/>
  <c r="D79" i="2"/>
  <c r="D83" i="2"/>
  <c r="F83" i="2" s="1"/>
  <c r="D78" i="2"/>
  <c r="J72" i="2"/>
  <c r="E132" i="1"/>
  <c r="F132" i="1" s="1"/>
  <c r="E133" i="1"/>
  <c r="F133" i="1" s="1"/>
  <c r="H133" i="1" s="1"/>
  <c r="K133" i="1" s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32" i="1"/>
  <c r="O132" i="1" l="1"/>
  <c r="O134" i="1" s="1"/>
  <c r="M132" i="1"/>
  <c r="M134" i="1" s="1"/>
  <c r="K132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04" i="1"/>
  <c r="H98" i="1"/>
  <c r="H97" i="1"/>
  <c r="H96" i="1"/>
  <c r="H95" i="1"/>
  <c r="H94" i="1"/>
  <c r="H72" i="1"/>
  <c r="J72" i="1" s="1"/>
  <c r="K72" i="1" s="1"/>
  <c r="H71" i="1"/>
  <c r="J71" i="1" s="1"/>
  <c r="K71" i="1" s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56" i="1"/>
  <c r="E74" i="2"/>
  <c r="D74" i="2"/>
  <c r="E73" i="2"/>
  <c r="D73" i="2"/>
  <c r="E72" i="2"/>
  <c r="D72" i="2"/>
  <c r="E70" i="2"/>
  <c r="D70" i="2"/>
  <c r="E69" i="2"/>
  <c r="D69" i="2"/>
  <c r="E68" i="2"/>
  <c r="D68" i="2"/>
  <c r="E65" i="2"/>
  <c r="D65" i="2"/>
  <c r="E64" i="2"/>
  <c r="D64" i="2"/>
  <c r="F63" i="2"/>
  <c r="E63" i="2"/>
  <c r="D63" i="2"/>
  <c r="E62" i="2"/>
  <c r="D62" i="2"/>
  <c r="E61" i="2"/>
  <c r="D61" i="2"/>
  <c r="F61" i="2" s="1"/>
  <c r="E60" i="2"/>
  <c r="D60" i="2"/>
  <c r="E59" i="2"/>
  <c r="F59" i="2" s="1"/>
  <c r="D59" i="2"/>
  <c r="E58" i="2"/>
  <c r="D58" i="2"/>
  <c r="E57" i="2"/>
  <c r="D57" i="2"/>
  <c r="E55" i="2"/>
  <c r="D55" i="2"/>
  <c r="F54" i="2"/>
  <c r="E54" i="2"/>
  <c r="D54" i="2"/>
  <c r="E53" i="2"/>
  <c r="D53" i="2"/>
  <c r="E52" i="2"/>
  <c r="D52" i="2"/>
  <c r="F52" i="2" s="1"/>
  <c r="E51" i="2"/>
  <c r="D51" i="2"/>
  <c r="E50" i="2"/>
  <c r="D50" i="2"/>
  <c r="E49" i="2"/>
  <c r="D49" i="2"/>
  <c r="E48" i="2"/>
  <c r="D48" i="2"/>
  <c r="E47" i="2"/>
  <c r="F47" i="2" s="1"/>
  <c r="D47" i="2"/>
  <c r="E42" i="2"/>
  <c r="D42" i="2"/>
  <c r="E41" i="2"/>
  <c r="D41" i="2"/>
  <c r="E40" i="2"/>
  <c r="D40" i="2"/>
  <c r="E39" i="2"/>
  <c r="F39" i="2" s="1"/>
  <c r="D39" i="2"/>
  <c r="E37" i="2"/>
  <c r="D37" i="2"/>
  <c r="E36" i="2"/>
  <c r="D36" i="2"/>
  <c r="E35" i="2"/>
  <c r="D35" i="2"/>
  <c r="E34" i="2"/>
  <c r="F34" i="2" s="1"/>
  <c r="D34" i="2"/>
  <c r="D31" i="2"/>
  <c r="F31" i="2" s="1"/>
  <c r="D30" i="2"/>
  <c r="F30" i="2" s="1"/>
  <c r="H28" i="2" s="1"/>
  <c r="D29" i="2"/>
  <c r="F29" i="2" s="1"/>
  <c r="D28" i="2"/>
  <c r="F28" i="2" s="1"/>
  <c r="D26" i="2"/>
  <c r="F26" i="2" s="1"/>
  <c r="D25" i="2"/>
  <c r="F25" i="2" s="1"/>
  <c r="D23" i="2"/>
  <c r="F23" i="2" s="1"/>
  <c r="D22" i="2"/>
  <c r="F22" i="2" s="1"/>
  <c r="E21" i="2"/>
  <c r="D21" i="2"/>
  <c r="E20" i="2"/>
  <c r="D20" i="2"/>
  <c r="D15" i="2"/>
  <c r="F15" i="2" s="1"/>
  <c r="D14" i="2"/>
  <c r="F14" i="2" s="1"/>
  <c r="D13" i="2"/>
  <c r="F13" i="2" s="1"/>
  <c r="D12" i="2"/>
  <c r="F12" i="2" s="1"/>
  <c r="D11" i="2"/>
  <c r="F11" i="2" s="1"/>
  <c r="D10" i="2"/>
  <c r="F10" i="2" s="1"/>
  <c r="D8" i="2"/>
  <c r="F8" i="2" s="1"/>
  <c r="D7" i="2"/>
  <c r="F7" i="2" s="1"/>
  <c r="D6" i="2"/>
  <c r="F6" i="2" s="1"/>
  <c r="D5" i="2"/>
  <c r="F5" i="2" s="1"/>
  <c r="D4" i="2"/>
  <c r="F4" i="2" s="1"/>
  <c r="E3" i="2"/>
  <c r="D3" i="2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29" i="1"/>
  <c r="F37" i="2" l="1"/>
  <c r="H3" i="2"/>
  <c r="H20" i="2"/>
  <c r="F74" i="2"/>
  <c r="F40" i="2"/>
  <c r="F69" i="2"/>
  <c r="F20" i="2"/>
  <c r="G20" i="2" s="1"/>
  <c r="E64" i="1"/>
  <c r="F64" i="1" s="1"/>
  <c r="H64" i="1" s="1"/>
  <c r="J64" i="1" s="1"/>
  <c r="E105" i="1"/>
  <c r="F105" i="1" s="1"/>
  <c r="E107" i="1"/>
  <c r="F107" i="1" s="1"/>
  <c r="E122" i="1"/>
  <c r="F122" i="1" s="1"/>
  <c r="H122" i="1" s="1"/>
  <c r="J122" i="1" s="1"/>
  <c r="E123" i="1"/>
  <c r="F123" i="1" s="1"/>
  <c r="H123" i="1" s="1"/>
  <c r="J123" i="1" s="1"/>
  <c r="E114" i="1"/>
  <c r="F114" i="1" s="1"/>
  <c r="E112" i="1"/>
  <c r="F112" i="1" s="1"/>
  <c r="E113" i="1"/>
  <c r="F113" i="1" s="1"/>
  <c r="G28" i="2"/>
  <c r="F35" i="2"/>
  <c r="F55" i="2"/>
  <c r="E104" i="1"/>
  <c r="E115" i="1"/>
  <c r="F115" i="1" s="1"/>
  <c r="F60" i="2"/>
  <c r="K64" i="1"/>
  <c r="F41" i="2"/>
  <c r="H34" i="2" s="1"/>
  <c r="K72" i="2" s="1"/>
  <c r="F49" i="2"/>
  <c r="F53" i="2"/>
  <c r="F65" i="2"/>
  <c r="F72" i="2"/>
  <c r="H68" i="2" s="1"/>
  <c r="F58" i="2"/>
  <c r="F62" i="2"/>
  <c r="F42" i="2"/>
  <c r="F50" i="2"/>
  <c r="F68" i="2"/>
  <c r="G68" i="2" s="1"/>
  <c r="F73" i="2"/>
  <c r="E108" i="1"/>
  <c r="F108" i="1" s="1"/>
  <c r="H108" i="1" s="1"/>
  <c r="J108" i="1" s="1"/>
  <c r="M108" i="1" s="1"/>
  <c r="F3" i="2"/>
  <c r="G3" i="2" s="1"/>
  <c r="F36" i="2"/>
  <c r="F57" i="2"/>
  <c r="H47" i="2" s="1"/>
  <c r="F51" i="2"/>
  <c r="E111" i="1"/>
  <c r="F111" i="1" s="1"/>
  <c r="F21" i="2"/>
  <c r="F48" i="2"/>
  <c r="F64" i="2"/>
  <c r="F70" i="2"/>
  <c r="E81" i="1"/>
  <c r="E96" i="1" s="1"/>
  <c r="K96" i="1" s="1"/>
  <c r="E82" i="1"/>
  <c r="E97" i="1" s="1"/>
  <c r="K97" i="1" s="1"/>
  <c r="E79" i="1"/>
  <c r="E94" i="1" s="1"/>
  <c r="K94" i="1" s="1"/>
  <c r="L94" i="1" s="1"/>
  <c r="E106" i="1"/>
  <c r="F106" i="1" s="1"/>
  <c r="E90" i="1"/>
  <c r="F90" i="1" s="1"/>
  <c r="E86" i="1"/>
  <c r="F86" i="1" s="1"/>
  <c r="E89" i="1"/>
  <c r="F89" i="1" s="1"/>
  <c r="E83" i="1"/>
  <c r="E98" i="1" s="1"/>
  <c r="E80" i="1"/>
  <c r="E95" i="1" s="1"/>
  <c r="E87" i="1"/>
  <c r="F87" i="1" s="1"/>
  <c r="E65" i="1"/>
  <c r="F65" i="1" s="1"/>
  <c r="H65" i="1" s="1"/>
  <c r="J65" i="1" s="1"/>
  <c r="E88" i="1"/>
  <c r="F88" i="1" s="1"/>
  <c r="E57" i="1"/>
  <c r="F57" i="1" s="1"/>
  <c r="H57" i="1" s="1"/>
  <c r="E56" i="1"/>
  <c r="F56" i="1" s="1"/>
  <c r="H56" i="1" s="1"/>
  <c r="L71" i="1"/>
  <c r="G34" i="2"/>
  <c r="E30" i="1"/>
  <c r="F30" i="1" s="1"/>
  <c r="H30" i="1" s="1"/>
  <c r="J30" i="1" s="1"/>
  <c r="K30" i="1" s="1"/>
  <c r="E29" i="1"/>
  <c r="F29" i="1" s="1"/>
  <c r="H29" i="1" s="1"/>
  <c r="J29" i="1" s="1"/>
  <c r="K29" i="1" s="1"/>
  <c r="K71" i="2" l="1"/>
  <c r="G47" i="2"/>
  <c r="J71" i="2" s="1"/>
  <c r="O122" i="1"/>
  <c r="F96" i="1"/>
  <c r="J96" i="1" s="1"/>
  <c r="K108" i="1"/>
  <c r="K123" i="1"/>
  <c r="J126" i="1"/>
  <c r="K65" i="1"/>
  <c r="S64" i="1"/>
  <c r="S66" i="1" s="1"/>
  <c r="R64" i="1"/>
  <c r="R66" i="1" s="1"/>
  <c r="T64" i="1"/>
  <c r="T66" i="1" s="1"/>
  <c r="M64" i="1"/>
  <c r="F81" i="1"/>
  <c r="F104" i="1"/>
  <c r="H104" i="1" s="1"/>
  <c r="J104" i="1" s="1"/>
  <c r="O124" i="1"/>
  <c r="M122" i="1"/>
  <c r="M124" i="1" s="1"/>
  <c r="K122" i="1"/>
  <c r="F97" i="1"/>
  <c r="J97" i="1" s="1"/>
  <c r="J57" i="1"/>
  <c r="K57" i="1" s="1"/>
  <c r="F80" i="1"/>
  <c r="J56" i="1"/>
  <c r="K56" i="1" s="1"/>
  <c r="F82" i="1"/>
  <c r="F79" i="1"/>
  <c r="H79" i="1" s="1"/>
  <c r="J79" i="1" s="1"/>
  <c r="F94" i="1"/>
  <c r="J94" i="1" s="1"/>
  <c r="F98" i="1"/>
  <c r="J98" i="1" s="1"/>
  <c r="K98" i="1"/>
  <c r="L98" i="1" s="1"/>
  <c r="F83" i="1"/>
  <c r="H83" i="1" s="1"/>
  <c r="F95" i="1"/>
  <c r="J95" i="1" s="1"/>
  <c r="K95" i="1"/>
  <c r="L29" i="1"/>
  <c r="M29" i="1" s="1"/>
  <c r="P29" i="1" s="1"/>
  <c r="P31" i="1" s="1"/>
  <c r="M104" i="1" l="1"/>
  <c r="K104" i="1"/>
  <c r="J83" i="1"/>
  <c r="K83" i="1" s="1"/>
  <c r="P64" i="1"/>
  <c r="P66" i="1" s="1"/>
  <c r="O64" i="1"/>
  <c r="O66" i="1" s="1"/>
  <c r="N64" i="1"/>
  <c r="N66" i="1" s="1"/>
  <c r="L64" i="1"/>
  <c r="L56" i="1"/>
  <c r="M56" i="1" s="1"/>
  <c r="O56" i="1" s="1"/>
  <c r="O58" i="1" s="1"/>
  <c r="P79" i="1"/>
  <c r="K79" i="1"/>
  <c r="M79" i="1"/>
  <c r="O29" i="1"/>
  <c r="O31" i="1" s="1"/>
  <c r="N29" i="1"/>
  <c r="N31" i="1" s="1"/>
  <c r="P56" i="1" l="1"/>
  <c r="P58" i="1" s="1"/>
  <c r="N56" i="1"/>
  <c r="N58" i="1" s="1"/>
  <c r="G80" i="1"/>
  <c r="L95" i="1" s="1"/>
  <c r="G81" i="1" l="1"/>
  <c r="L96" i="1" s="1"/>
  <c r="H80" i="1"/>
  <c r="J80" i="1" s="1"/>
  <c r="M80" i="1" l="1"/>
  <c r="K80" i="1"/>
  <c r="G82" i="1"/>
  <c r="H81" i="1"/>
  <c r="J81" i="1" l="1"/>
  <c r="M81" i="1" s="1"/>
  <c r="M87" i="1"/>
  <c r="N87" i="1" s="1"/>
  <c r="H82" i="1"/>
  <c r="L97" i="1"/>
  <c r="J82" i="1" l="1"/>
  <c r="J87" i="1" s="1"/>
  <c r="M88" i="1" s="1"/>
  <c r="K81" i="1"/>
  <c r="J88" i="1"/>
  <c r="J90" i="1" s="1"/>
  <c r="S91" i="1"/>
  <c r="T91" i="1" s="1"/>
  <c r="P91" i="1"/>
  <c r="Q91" i="1" s="1"/>
  <c r="M91" i="1"/>
  <c r="N91" i="1" s="1"/>
  <c r="K87" i="1"/>
  <c r="P87" i="1"/>
  <c r="K82" i="1" l="1"/>
  <c r="Q87" i="1"/>
  <c r="P88" i="1"/>
  <c r="G105" i="1"/>
  <c r="H105" i="1" l="1"/>
  <c r="J105" i="1" s="1"/>
  <c r="G106" i="1"/>
  <c r="G107" i="1" l="1"/>
  <c r="H107" i="1" s="1"/>
  <c r="J107" i="1" s="1"/>
  <c r="H106" i="1"/>
  <c r="J106" i="1" s="1"/>
  <c r="J112" i="1" s="1"/>
  <c r="M105" i="1"/>
  <c r="K105" i="1"/>
  <c r="M114" i="1" l="1"/>
  <c r="M116" i="1" s="1"/>
  <c r="K112" i="1"/>
  <c r="O114" i="1"/>
  <c r="O116" i="1" s="1"/>
  <c r="N114" i="1"/>
  <c r="N116" i="1" s="1"/>
  <c r="M106" i="1"/>
  <c r="K106" i="1"/>
  <c r="M107" i="1"/>
  <c r="K107" i="1"/>
  <c r="M110" i="1" l="1"/>
  <c r="N110" i="1" s="1"/>
</calcChain>
</file>

<file path=xl/sharedStrings.xml><?xml version="1.0" encoding="utf-8"?>
<sst xmlns="http://schemas.openxmlformats.org/spreadsheetml/2006/main" count="275" uniqueCount="113">
  <si>
    <t>Year</t>
  </si>
  <si>
    <t>Standardized Cell Number</t>
  </si>
  <si>
    <t>Under42</t>
  </si>
  <si>
    <t>WAS27</t>
  </si>
  <si>
    <t>WAS03</t>
  </si>
  <si>
    <t>WAS21</t>
  </si>
  <si>
    <t>WAS36</t>
  </si>
  <si>
    <t>WAS49</t>
  </si>
  <si>
    <t>GT-1</t>
  </si>
  <si>
    <t>GT-3</t>
  </si>
  <si>
    <t>GT-4</t>
  </si>
  <si>
    <t>WAS61</t>
  </si>
  <si>
    <t>AboveP1</t>
  </si>
  <si>
    <t>WAS51</t>
  </si>
  <si>
    <t>WAS50</t>
  </si>
  <si>
    <t>WAS42</t>
  </si>
  <si>
    <t>WAS01</t>
  </si>
  <si>
    <t>WAS04</t>
  </si>
  <si>
    <t>WAS63</t>
  </si>
  <si>
    <t>WAS64</t>
  </si>
  <si>
    <t>WAS48</t>
  </si>
  <si>
    <t>WAS57</t>
  </si>
  <si>
    <t>WAS65</t>
  </si>
  <si>
    <t xml:space="preserve">Densities below 42 </t>
  </si>
  <si>
    <t xml:space="preserve">no. of tracheids </t>
  </si>
  <si>
    <t>LW</t>
  </si>
  <si>
    <t>EW</t>
  </si>
  <si>
    <t xml:space="preserve">LW </t>
  </si>
  <si>
    <t xml:space="preserve">Area (mum2) </t>
  </si>
  <si>
    <t xml:space="preserve">Area (m2) </t>
  </si>
  <si>
    <t>density trach/m2</t>
  </si>
  <si>
    <t>Average density  EW (tracheid/m2)</t>
  </si>
  <si>
    <t>Average density LW (tracheid/m2)</t>
  </si>
  <si>
    <t xml:space="preserve">Densities Above P </t>
  </si>
  <si>
    <t>ES</t>
  </si>
  <si>
    <t>DF</t>
  </si>
  <si>
    <t>ES------</t>
  </si>
  <si>
    <t>Densities 51</t>
  </si>
  <si>
    <t>Densitites 04</t>
  </si>
  <si>
    <t xml:space="preserve">Densities16 </t>
  </si>
  <si>
    <t>DF-SOIL</t>
  </si>
  <si>
    <t>Densities1</t>
  </si>
  <si>
    <t>Densities 49</t>
  </si>
  <si>
    <t xml:space="preserve">Tracheid density </t>
  </si>
  <si>
    <t>Ks</t>
  </si>
  <si>
    <t>Hydraulic diameter (mum)</t>
  </si>
  <si>
    <t>Hydraulic diameter (m)</t>
  </si>
  <si>
    <t>Hydraulic radius (m)</t>
  </si>
  <si>
    <t>SWA m2 (DF27</t>
  </si>
  <si>
    <t>Kh</t>
  </si>
  <si>
    <t>Rmin</t>
  </si>
  <si>
    <t>Rtot_min</t>
  </si>
  <si>
    <t>Kh_max</t>
  </si>
  <si>
    <t>Kh_50</t>
  </si>
  <si>
    <t>Kh_88</t>
  </si>
  <si>
    <t>Kh_95</t>
  </si>
  <si>
    <t>R_50</t>
  </si>
  <si>
    <t>R_88</t>
  </si>
  <si>
    <t>R_95</t>
  </si>
  <si>
    <t>R_95/Rmax</t>
  </si>
  <si>
    <t>D^4</t>
  </si>
  <si>
    <t xml:space="preserve">realmente tener 90-10 </t>
  </si>
  <si>
    <t xml:space="preserve">30-70 (7 rows out of 25) </t>
  </si>
  <si>
    <t>Juguemos</t>
  </si>
  <si>
    <t>el tracheidogram se tiene que ir perdiendo de arriba a abajo largest cells- more efficient, smaller more safe, necesito hacer una funcion numerica que dependa de la sequia pero bien argumentada- lo mas simple es no meter resistencia</t>
  </si>
  <si>
    <t>de los pits por ahora y solo asumir como se ve el loss of conductance</t>
  </si>
  <si>
    <t>3 to 6</t>
  </si>
  <si>
    <t>7 to 11</t>
  </si>
  <si>
    <t>12 to 15</t>
  </si>
  <si>
    <t>15 to 18</t>
  </si>
  <si>
    <t xml:space="preserve">18 or more </t>
  </si>
  <si>
    <t>groups</t>
  </si>
  <si>
    <t xml:space="preserve">SWA m2 </t>
  </si>
  <si>
    <t xml:space="preserve">Ks (kg Mpa-1 s-1 m-1) </t>
  </si>
  <si>
    <t>Kh ((kg Mpa-1 s-1)</t>
  </si>
  <si>
    <t xml:space="preserve">H1: when I dry I start losing big pores first </t>
  </si>
  <si>
    <t xml:space="preserve">Fraction of each group </t>
  </si>
  <si>
    <t xml:space="preserve">no of cells in each group </t>
  </si>
  <si>
    <t>L tracheid length (m)</t>
  </si>
  <si>
    <t xml:space="preserve">Fp fraction of tracheid wall area that is pitted </t>
  </si>
  <si>
    <t xml:space="preserve">Rp (Mpa s m-1) </t>
  </si>
  <si>
    <t xml:space="preserve">pit resistance </t>
  </si>
  <si>
    <t xml:space="preserve">A_T Tracheid area (assume circle) (m2) </t>
  </si>
  <si>
    <t>Rw= rp/(D*L^2 *Fp)</t>
  </si>
  <si>
    <t>Rw_unit wall resistance (Mpa s kg-1 m-2)</t>
  </si>
  <si>
    <t xml:space="preserve">Tracheid density m-2 (linear loss of density lw-((lw-ew)/no of groups </t>
  </si>
  <si>
    <t>Rw*tracheid density (Mpa s kg-1)</t>
  </si>
  <si>
    <t>SWA m2</t>
  </si>
  <si>
    <t xml:space="preserve">Rmin per section </t>
  </si>
  <si>
    <t>Khtot_max</t>
  </si>
  <si>
    <t>Kh_98</t>
  </si>
  <si>
    <t>Kh_99.999</t>
  </si>
  <si>
    <t>Kh98_tot</t>
  </si>
  <si>
    <t>R98_tot</t>
  </si>
  <si>
    <t>Kh_tot_50</t>
  </si>
  <si>
    <t>Kh_tot_88</t>
  </si>
  <si>
    <t>Kh_tot_95</t>
  </si>
  <si>
    <t xml:space="preserve">R_88 </t>
  </si>
  <si>
    <t>cm3/h</t>
  </si>
  <si>
    <t xml:space="preserve">Real max SF for 51 </t>
  </si>
  <si>
    <t>Max SF @1.2</t>
  </si>
  <si>
    <t>K50_lin</t>
  </si>
  <si>
    <t>R50</t>
  </si>
  <si>
    <t>K88_lin</t>
  </si>
  <si>
    <t>K98</t>
  </si>
  <si>
    <t>Under 42</t>
  </si>
  <si>
    <t xml:space="preserve">REGULAR </t>
  </si>
  <si>
    <t xml:space="preserve">SECTIONS </t>
  </si>
  <si>
    <t xml:space="preserve">          </t>
  </si>
  <si>
    <t>Khmax</t>
  </si>
  <si>
    <t xml:space="preserve">Khloss all EW just LW </t>
  </si>
  <si>
    <t>Kh_loss all EW just LW</t>
  </si>
  <si>
    <t xml:space="preserve">Densities 48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</si>
</sst>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theme="1"/>
      <name val="Verdana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1" fontId="1" fillId="0" borderId="0" xfId="0" applyNumberFormat="1" applyFont="1"/>
    <xf numFmtId="16" fontId="0" fillId="0" borderId="0" xfId="0" applyNumberFormat="1"/>
    <xf numFmtId="164" fontId="0" fillId="0" borderId="0" xfId="0" applyNumberFormat="1"/>
    <xf numFmtId="2" fontId="0" fillId="0" borderId="0" xfId="0" applyNumberFormat="1"/>
    <xf numFmtId="11" fontId="3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36B7-FE3D-D54B-8EC5-9AF5AA4FC4E2}">
  <dimension ref="A1:W156"/>
  <sheetViews>
    <sheetView tabSelected="1" topLeftCell="F107" zoomScale="92" zoomScaleNormal="92" workbookViewId="0">
      <selection activeCell="J134" sqref="J134"/>
    </sheetView>
  </sheetViews>
  <sheetFormatPr baseColWidth="10" defaultRowHeight="16" x14ac:dyDescent="0.2"/>
  <cols>
    <col min="2" max="2" width="31.5" customWidth="1"/>
    <col min="4" max="4" width="12.5" bestFit="1" customWidth="1"/>
    <col min="5" max="5" width="26.6640625" customWidth="1"/>
    <col min="6" max="6" width="24.33203125" customWidth="1"/>
    <col min="7" max="7" width="40.1640625" customWidth="1"/>
    <col min="8" max="8" width="31" customWidth="1"/>
    <col min="9" max="9" width="16.6640625" customWidth="1"/>
    <col min="10" max="10" width="32.1640625" customWidth="1"/>
    <col min="11" max="11" width="35.1640625" customWidth="1"/>
    <col min="13" max="13" width="13.1640625" bestFit="1" customWidth="1"/>
    <col min="15" max="16" width="13.1640625" bestFit="1" customWidth="1"/>
    <col min="17" max="17" width="14.83203125" bestFit="1" customWidth="1"/>
    <col min="19" max="20" width="13.1640625" bestFit="1" customWidth="1"/>
    <col min="22" max="22" width="13.1640625" bestFit="1" customWidth="1"/>
  </cols>
  <sheetData>
    <row r="1" spans="1:23" x14ac:dyDescent="0.2">
      <c r="A1" t="s">
        <v>0</v>
      </c>
      <c r="B1" t="s">
        <v>1</v>
      </c>
      <c r="C1" t="s">
        <v>105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2019</v>
      </c>
      <c r="B2">
        <v>1</v>
      </c>
      <c r="C2">
        <v>3.476399999999999</v>
      </c>
      <c r="D2">
        <v>2.387</v>
      </c>
      <c r="E2">
        <v>2.2710495495495513</v>
      </c>
      <c r="F2">
        <v>1.0660000000000003</v>
      </c>
      <c r="G2">
        <v>3.8354661016949159</v>
      </c>
      <c r="H2">
        <v>1.7873771929824556</v>
      </c>
      <c r="I2">
        <v>2.0880606060606066</v>
      </c>
      <c r="J2">
        <v>6.422157407407405</v>
      </c>
      <c r="K2">
        <v>4.9678015267175502</v>
      </c>
      <c r="L2">
        <v>4.4971309523809531</v>
      </c>
      <c r="M2">
        <v>3.9779329140461215</v>
      </c>
      <c r="N2">
        <v>3.1628679245283013</v>
      </c>
      <c r="O2">
        <v>1.5369629629629629</v>
      </c>
      <c r="P2">
        <v>2.6415000000000002</v>
      </c>
      <c r="Q2">
        <v>0.755</v>
      </c>
      <c r="R2">
        <v>6.0849999999999982</v>
      </c>
      <c r="S2">
        <v>3.5051451612903226</v>
      </c>
      <c r="T2">
        <v>4.5017894736842079</v>
      </c>
      <c r="U2">
        <v>1.9490303030303029</v>
      </c>
      <c r="V2">
        <v>1.5093333333333339</v>
      </c>
      <c r="W2">
        <v>5.2401595744680893</v>
      </c>
    </row>
    <row r="3" spans="1:23" x14ac:dyDescent="0.2">
      <c r="A3">
        <v>2019</v>
      </c>
      <c r="B3">
        <v>2</v>
      </c>
      <c r="C3">
        <v>4.4119894736842111</v>
      </c>
      <c r="D3">
        <v>2.387</v>
      </c>
      <c r="E3">
        <v>3.6970855855855889</v>
      </c>
      <c r="F3">
        <v>1.0660000000000003</v>
      </c>
      <c r="G3">
        <v>3.7479830508474552</v>
      </c>
      <c r="H3">
        <v>3.4293859649122762</v>
      </c>
      <c r="I3">
        <v>3.3925959595959609</v>
      </c>
      <c r="J3">
        <v>8.8441481481481468</v>
      </c>
      <c r="K3">
        <v>7.4829033078880496</v>
      </c>
      <c r="L3">
        <v>6.6336904761904822</v>
      </c>
      <c r="M3">
        <v>5.3485702306079634</v>
      </c>
      <c r="N3">
        <v>4.9385283018867909</v>
      </c>
      <c r="O3">
        <v>2.0542283950617275</v>
      </c>
      <c r="P3">
        <v>4.8770462962962959</v>
      </c>
      <c r="Q3">
        <v>0.755</v>
      </c>
      <c r="R3">
        <v>5.5956666666666681</v>
      </c>
      <c r="S3">
        <v>4.9939623655913996</v>
      </c>
      <c r="T3">
        <v>7.7824210526315794</v>
      </c>
      <c r="U3">
        <v>5.5776666666666701</v>
      </c>
      <c r="V3">
        <v>2.0123333333333351</v>
      </c>
      <c r="W3">
        <v>12.657024822695055</v>
      </c>
    </row>
    <row r="4" spans="1:23" x14ac:dyDescent="0.2">
      <c r="A4">
        <v>2019</v>
      </c>
      <c r="B4">
        <v>3</v>
      </c>
      <c r="C4">
        <v>5.9218736842105262</v>
      </c>
      <c r="D4">
        <v>2.387</v>
      </c>
      <c r="E4">
        <v>3.6831036036036044</v>
      </c>
      <c r="F4">
        <v>1.8591458333333331</v>
      </c>
      <c r="G4">
        <v>3.69825988700565</v>
      </c>
      <c r="H4">
        <v>3.6599546783625714</v>
      </c>
      <c r="I4">
        <v>5.2716060606060582</v>
      </c>
      <c r="J4">
        <v>9.6353240740740738</v>
      </c>
      <c r="K4">
        <v>9.4302798982188207</v>
      </c>
      <c r="L4">
        <v>6.3694285714285757</v>
      </c>
      <c r="M4">
        <v>6.6349475890985383</v>
      </c>
      <c r="N4">
        <v>6.3984150943396223</v>
      </c>
      <c r="O4">
        <v>3.3073333333333346</v>
      </c>
      <c r="P4">
        <v>7.3316296296296297</v>
      </c>
      <c r="Q4">
        <v>0.755</v>
      </c>
      <c r="R4">
        <v>4.617</v>
      </c>
      <c r="S4">
        <v>8.0870967741935438</v>
      </c>
      <c r="T4">
        <v>8.6397192982456037</v>
      </c>
      <c r="U4">
        <v>7.4216060606060674</v>
      </c>
      <c r="V4">
        <v>6.3240000000000114</v>
      </c>
      <c r="W4">
        <v>9.8692163120567393</v>
      </c>
    </row>
    <row r="5" spans="1:23" x14ac:dyDescent="0.2">
      <c r="A5">
        <v>2019</v>
      </c>
      <c r="B5">
        <v>4</v>
      </c>
      <c r="C5">
        <v>7.6932315789473673</v>
      </c>
      <c r="D5">
        <v>2.5652857142857144</v>
      </c>
      <c r="E5">
        <v>6.560036036036033</v>
      </c>
      <c r="F5">
        <v>1.9312499999999997</v>
      </c>
      <c r="G5">
        <v>4.0746723163841763</v>
      </c>
      <c r="H5">
        <v>5.9794385964912298</v>
      </c>
      <c r="I5">
        <v>6.6410404040404041</v>
      </c>
      <c r="J5">
        <v>11.828046296296293</v>
      </c>
      <c r="K5">
        <v>9.3378447837150311</v>
      </c>
      <c r="L5">
        <v>5.667345238095244</v>
      </c>
      <c r="M5">
        <v>7.8409140461215934</v>
      </c>
      <c r="N5">
        <v>7.737094339622641</v>
      </c>
      <c r="O5">
        <v>4.9017654320987658</v>
      </c>
      <c r="P5">
        <v>10.9435</v>
      </c>
      <c r="Q5">
        <v>2.0753749999999997</v>
      </c>
      <c r="R5">
        <v>5.2425555555555574</v>
      </c>
      <c r="S5">
        <v>9.1457311827956893</v>
      </c>
      <c r="T5">
        <v>10.265385964912303</v>
      </c>
      <c r="U5">
        <v>13.533333333333339</v>
      </c>
      <c r="V5">
        <v>8.1390000000000011</v>
      </c>
      <c r="W5">
        <v>13.615748226950371</v>
      </c>
    </row>
    <row r="6" spans="1:23" x14ac:dyDescent="0.2">
      <c r="A6">
        <v>2019</v>
      </c>
      <c r="B6">
        <v>5</v>
      </c>
      <c r="C6">
        <v>6.3114000000000026</v>
      </c>
      <c r="D6">
        <v>2.8030000000000004</v>
      </c>
      <c r="E6">
        <v>5.8169009009008894</v>
      </c>
      <c r="F6">
        <v>4.4293750000000012</v>
      </c>
      <c r="G6">
        <v>4.7729265536723169</v>
      </c>
      <c r="H6">
        <v>7.8327324561403602</v>
      </c>
      <c r="I6">
        <v>7.1024545454545436</v>
      </c>
      <c r="J6">
        <v>10.881990740740743</v>
      </c>
      <c r="K6">
        <v>9.6930152671755483</v>
      </c>
      <c r="L6">
        <v>5.9484166666666614</v>
      </c>
      <c r="M6">
        <v>7.7324150943396166</v>
      </c>
      <c r="N6">
        <v>9.149132075471698</v>
      </c>
      <c r="O6">
        <v>7.0403580246913586</v>
      </c>
      <c r="P6">
        <v>11.054194444444446</v>
      </c>
      <c r="Q6">
        <v>2.2639999999999998</v>
      </c>
      <c r="R6">
        <v>5.5553333333333352</v>
      </c>
      <c r="S6">
        <v>9.8970430107526823</v>
      </c>
      <c r="T6">
        <v>9.7142807017544008</v>
      </c>
      <c r="U6">
        <v>13.158969696969697</v>
      </c>
      <c r="V6">
        <v>12.945666666666675</v>
      </c>
      <c r="W6">
        <v>15.161166666666643</v>
      </c>
    </row>
    <row r="7" spans="1:23" x14ac:dyDescent="0.2">
      <c r="A7">
        <v>2019</v>
      </c>
      <c r="B7">
        <v>6</v>
      </c>
      <c r="C7">
        <v>7.9305368421052664</v>
      </c>
      <c r="D7">
        <v>2.8030000000000004</v>
      </c>
      <c r="E7">
        <v>4.5249684684684626</v>
      </c>
      <c r="F7">
        <v>4.9290000000000012</v>
      </c>
      <c r="G7">
        <v>5.5552881355932184</v>
      </c>
      <c r="H7">
        <v>10.020789473684216</v>
      </c>
      <c r="I7">
        <v>8.5826767676767606</v>
      </c>
      <c r="J7">
        <v>12.441407407407404</v>
      </c>
      <c r="K7">
        <v>10.499824427480922</v>
      </c>
      <c r="L7">
        <v>6.8061011904761877</v>
      </c>
      <c r="M7">
        <v>8.6081006289308206</v>
      </c>
      <c r="N7">
        <v>9.4647547169811315</v>
      </c>
      <c r="O7">
        <v>8.3105555555555597</v>
      </c>
      <c r="P7">
        <v>12.529518518518522</v>
      </c>
      <c r="Q7">
        <v>2.2639999999999998</v>
      </c>
      <c r="R7">
        <v>4.8563333333333336</v>
      </c>
      <c r="S7">
        <v>9.1967150537634357</v>
      </c>
      <c r="T7">
        <v>10.904456140350877</v>
      </c>
      <c r="U7">
        <v>13.052060606060614</v>
      </c>
      <c r="V7">
        <v>16.401333333333341</v>
      </c>
      <c r="W7">
        <v>18.857953900709191</v>
      </c>
    </row>
    <row r="8" spans="1:23" x14ac:dyDescent="0.2">
      <c r="A8">
        <v>2019</v>
      </c>
      <c r="B8">
        <v>7</v>
      </c>
      <c r="C8">
        <v>10.174821052631579</v>
      </c>
      <c r="D8">
        <v>2.8030000000000004</v>
      </c>
      <c r="E8">
        <v>7.1462612612612668</v>
      </c>
      <c r="F8">
        <v>7.7493749999999997</v>
      </c>
      <c r="G8">
        <v>6.6996892655367191</v>
      </c>
      <c r="H8">
        <v>9.236464912280713</v>
      </c>
      <c r="I8">
        <v>10.848565656565658</v>
      </c>
      <c r="J8">
        <v>19.757305555555543</v>
      </c>
      <c r="K8">
        <v>10.342076335877852</v>
      </c>
      <c r="L8">
        <v>9.7596488095238083</v>
      </c>
      <c r="M8">
        <v>8.5600167714884705</v>
      </c>
      <c r="N8">
        <v>8.594415094339622</v>
      </c>
      <c r="O8">
        <v>9.1159135802469198</v>
      </c>
      <c r="P8">
        <v>14.415518518518521</v>
      </c>
      <c r="Q8">
        <v>9.0564999999999998</v>
      </c>
      <c r="R8">
        <v>5.2935555555555558</v>
      </c>
      <c r="S8">
        <v>14.250779569892458</v>
      </c>
      <c r="T8">
        <v>13.271684210526296</v>
      </c>
      <c r="U8">
        <v>17.619121212121225</v>
      </c>
      <c r="V8">
        <v>13.114333333333349</v>
      </c>
      <c r="W8">
        <v>21.004964539007112</v>
      </c>
    </row>
    <row r="9" spans="1:23" x14ac:dyDescent="0.2">
      <c r="A9">
        <v>2019</v>
      </c>
      <c r="B9">
        <v>8</v>
      </c>
      <c r="C9">
        <v>12.72475789473684</v>
      </c>
      <c r="D9">
        <v>9.4659142857142875</v>
      </c>
      <c r="E9">
        <v>7.9361891891891929</v>
      </c>
      <c r="F9">
        <v>8.6894999999999989</v>
      </c>
      <c r="G9">
        <v>8.3280847457627161</v>
      </c>
      <c r="H9">
        <v>10.496903508771934</v>
      </c>
      <c r="I9">
        <v>13.542151515151508</v>
      </c>
      <c r="J9">
        <v>28.163046296296308</v>
      </c>
      <c r="K9">
        <v>10.371419847328255</v>
      </c>
      <c r="L9">
        <v>12.075404761904753</v>
      </c>
      <c r="M9">
        <v>9.428465408805021</v>
      </c>
      <c r="N9">
        <v>10.731245283018868</v>
      </c>
      <c r="O9">
        <v>10.055308641975307</v>
      </c>
      <c r="P9">
        <v>15.597333333333331</v>
      </c>
      <c r="Q9">
        <v>11.320666666666666</v>
      </c>
      <c r="R9">
        <v>6.168000000000001</v>
      </c>
      <c r="S9">
        <v>16.342150537634414</v>
      </c>
      <c r="T9">
        <v>18.275842105263131</v>
      </c>
      <c r="U9">
        <v>20.875666666666667</v>
      </c>
      <c r="V9">
        <v>14.848666666666677</v>
      </c>
      <c r="W9">
        <v>24.988691489361678</v>
      </c>
    </row>
    <row r="10" spans="1:23" x14ac:dyDescent="0.2">
      <c r="A10">
        <v>2019</v>
      </c>
      <c r="B10">
        <v>9</v>
      </c>
      <c r="C10">
        <v>14.927599999999989</v>
      </c>
      <c r="D10">
        <v>10.576400000000001</v>
      </c>
      <c r="E10">
        <v>9.376968468468478</v>
      </c>
      <c r="F10">
        <v>13.336833333333336</v>
      </c>
      <c r="G10">
        <v>7.5731864406779748</v>
      </c>
      <c r="H10">
        <v>15.781355263157881</v>
      </c>
      <c r="I10">
        <v>16.118444444444442</v>
      </c>
      <c r="J10">
        <v>30.067888888888881</v>
      </c>
      <c r="K10">
        <v>11.956704834605594</v>
      </c>
      <c r="L10">
        <v>12.295416666666679</v>
      </c>
      <c r="M10">
        <v>11.153962264150939</v>
      </c>
      <c r="N10">
        <v>12.838113207547172</v>
      </c>
      <c r="O10">
        <v>12.484222222222229</v>
      </c>
      <c r="P10">
        <v>17.989999999999995</v>
      </c>
      <c r="Q10">
        <v>11.320666666666666</v>
      </c>
      <c r="R10">
        <v>9.0053333333333363</v>
      </c>
      <c r="S10">
        <v>18.017629032258075</v>
      </c>
      <c r="T10">
        <v>22.239666666666682</v>
      </c>
      <c r="U10">
        <v>26.549121212121232</v>
      </c>
      <c r="V10">
        <v>23.89633333333337</v>
      </c>
      <c r="W10">
        <v>25.719794326241161</v>
      </c>
    </row>
    <row r="11" spans="1:23" x14ac:dyDescent="0.2">
      <c r="A11">
        <v>2019</v>
      </c>
      <c r="B11">
        <v>10</v>
      </c>
      <c r="C11">
        <v>13.785547368421048</v>
      </c>
      <c r="D11">
        <v>10.576400000000001</v>
      </c>
      <c r="E11">
        <v>11.101378378378369</v>
      </c>
      <c r="F11">
        <v>15.660500000000004</v>
      </c>
      <c r="G11">
        <v>9.0523389830508449</v>
      </c>
      <c r="H11">
        <v>17.992557017543856</v>
      </c>
      <c r="I11">
        <v>19.348262626262635</v>
      </c>
      <c r="J11">
        <v>32.492064814814839</v>
      </c>
      <c r="K11">
        <v>11.28931297709924</v>
      </c>
      <c r="L11">
        <v>14.520690476190463</v>
      </c>
      <c r="M11">
        <v>14.735723270440253</v>
      </c>
      <c r="N11">
        <v>11.877886792452834</v>
      </c>
      <c r="O11">
        <v>16.025049382716048</v>
      </c>
      <c r="P11">
        <v>19.806796296296298</v>
      </c>
      <c r="Q11">
        <v>16.694624999999998</v>
      </c>
      <c r="R11">
        <v>10.424000000000003</v>
      </c>
      <c r="S11">
        <v>21.286999999999981</v>
      </c>
      <c r="T11">
        <v>24.498526315789491</v>
      </c>
      <c r="U11">
        <v>27.753121212121179</v>
      </c>
      <c r="V11">
        <v>18.684999999999967</v>
      </c>
      <c r="W11">
        <v>28.288117021276573</v>
      </c>
    </row>
    <row r="12" spans="1:23" x14ac:dyDescent="0.2">
      <c r="A12">
        <v>2019</v>
      </c>
      <c r="B12">
        <v>11</v>
      </c>
      <c r="C12">
        <v>14.836399999999996</v>
      </c>
      <c r="D12">
        <v>13.096971428571432</v>
      </c>
      <c r="E12">
        <v>11.690459459459472</v>
      </c>
      <c r="F12">
        <v>19.080145833333333</v>
      </c>
      <c r="G12">
        <v>10.523344632768357</v>
      </c>
      <c r="H12">
        <v>22.048368421052636</v>
      </c>
      <c r="I12">
        <v>19.695878787878783</v>
      </c>
      <c r="J12">
        <v>29.746861111111084</v>
      </c>
      <c r="K12">
        <v>14.275737913486033</v>
      </c>
      <c r="L12">
        <v>14.649779761904771</v>
      </c>
      <c r="M12">
        <v>17.301094339622644</v>
      </c>
      <c r="N12">
        <v>13.373584905660376</v>
      </c>
      <c r="O12">
        <v>19.823185185185181</v>
      </c>
      <c r="P12">
        <v>21.42</v>
      </c>
      <c r="Q12">
        <v>19.919</v>
      </c>
      <c r="R12">
        <v>14.878666666666669</v>
      </c>
      <c r="S12">
        <v>19.273569892473127</v>
      </c>
      <c r="T12">
        <v>28.588105263157836</v>
      </c>
      <c r="U12">
        <v>29.75715151515152</v>
      </c>
      <c r="V12">
        <v>20.417333333333325</v>
      </c>
      <c r="W12">
        <v>31.770152482269541</v>
      </c>
    </row>
    <row r="13" spans="1:23" x14ac:dyDescent="0.2">
      <c r="A13">
        <v>2019</v>
      </c>
      <c r="B13">
        <v>12</v>
      </c>
      <c r="C13">
        <v>16.610884210526315</v>
      </c>
      <c r="D13">
        <v>19.398400000000006</v>
      </c>
      <c r="E13">
        <v>13.119509009009018</v>
      </c>
      <c r="F13">
        <v>21.522750000000002</v>
      </c>
      <c r="G13">
        <v>13.482146892655379</v>
      </c>
      <c r="H13">
        <v>26.262403508771936</v>
      </c>
      <c r="I13">
        <v>20.203454545454552</v>
      </c>
      <c r="J13">
        <v>31.224444444444455</v>
      </c>
      <c r="K13">
        <v>16.688106870229021</v>
      </c>
      <c r="L13">
        <v>17.957005952380946</v>
      </c>
      <c r="M13">
        <v>16.025765199161427</v>
      </c>
      <c r="N13">
        <v>13.367584905660376</v>
      </c>
      <c r="O13">
        <v>17.483296296296299</v>
      </c>
      <c r="P13">
        <v>19.151555555555554</v>
      </c>
      <c r="Q13">
        <v>19.919</v>
      </c>
      <c r="R13">
        <v>16.202444444444442</v>
      </c>
      <c r="S13">
        <v>23.783763440860213</v>
      </c>
      <c r="T13">
        <v>30.775684210526311</v>
      </c>
      <c r="U13">
        <v>30.899515151515129</v>
      </c>
      <c r="V13">
        <v>17.543333333333347</v>
      </c>
      <c r="W13">
        <v>33.167641843971651</v>
      </c>
    </row>
    <row r="14" spans="1:23" x14ac:dyDescent="0.2">
      <c r="A14">
        <v>2019</v>
      </c>
      <c r="B14">
        <v>13</v>
      </c>
      <c r="C14">
        <v>18.0428</v>
      </c>
      <c r="D14">
        <v>19.398400000000006</v>
      </c>
      <c r="E14">
        <v>11.741684684684676</v>
      </c>
      <c r="F14">
        <v>23.798375000000007</v>
      </c>
      <c r="G14">
        <v>19.701423728813559</v>
      </c>
      <c r="H14">
        <v>28.078429824561432</v>
      </c>
      <c r="I14">
        <v>19.881656565656574</v>
      </c>
      <c r="J14">
        <v>34.236166666666655</v>
      </c>
      <c r="K14">
        <v>20.106404580152681</v>
      </c>
      <c r="L14">
        <v>21.17638095238096</v>
      </c>
      <c r="M14">
        <v>15.901509433962262</v>
      </c>
      <c r="N14">
        <v>13.891018867924535</v>
      </c>
      <c r="O14">
        <v>21.404839506172838</v>
      </c>
      <c r="P14">
        <v>19.245333333333331</v>
      </c>
      <c r="Q14">
        <v>19.469333333333335</v>
      </c>
      <c r="R14">
        <v>18.850000000000001</v>
      </c>
      <c r="S14">
        <v>31.220827956989243</v>
      </c>
      <c r="T14">
        <v>29.62526315789469</v>
      </c>
      <c r="U14">
        <v>33.820772727272718</v>
      </c>
      <c r="V14">
        <v>19.941999999999968</v>
      </c>
      <c r="W14">
        <v>34.375049645390078</v>
      </c>
    </row>
    <row r="15" spans="1:23" x14ac:dyDescent="0.2">
      <c r="A15">
        <v>2019</v>
      </c>
      <c r="B15">
        <v>14</v>
      </c>
      <c r="C15">
        <v>18.048863157894743</v>
      </c>
      <c r="D15">
        <v>19.398400000000006</v>
      </c>
      <c r="E15">
        <v>15.199828828828846</v>
      </c>
      <c r="F15">
        <v>26.074000000000009</v>
      </c>
      <c r="G15">
        <v>20.345050847457639</v>
      </c>
      <c r="H15">
        <v>28.618377192982479</v>
      </c>
      <c r="I15">
        <v>19.659757575757588</v>
      </c>
      <c r="J15">
        <v>30.920805555555564</v>
      </c>
      <c r="K15">
        <v>21.271737913485939</v>
      </c>
      <c r="L15">
        <v>19.667190476190459</v>
      </c>
      <c r="M15">
        <v>13.479257861635215</v>
      </c>
      <c r="N15">
        <v>15.506528301886798</v>
      </c>
      <c r="O15">
        <v>19.389333333333326</v>
      </c>
      <c r="P15">
        <v>20.155925925925928</v>
      </c>
      <c r="Q15">
        <v>19.019666666666669</v>
      </c>
      <c r="R15">
        <v>22.567555555555554</v>
      </c>
      <c r="S15">
        <v>27.418005376344073</v>
      </c>
      <c r="T15">
        <v>28.328684210526387</v>
      </c>
      <c r="U15">
        <v>35.569636363636405</v>
      </c>
      <c r="V15">
        <v>23.416333333333309</v>
      </c>
      <c r="W15">
        <v>32.123109929078034</v>
      </c>
    </row>
    <row r="16" spans="1:23" x14ac:dyDescent="0.2">
      <c r="A16">
        <v>2019</v>
      </c>
      <c r="B16">
        <v>15</v>
      </c>
      <c r="C16">
        <v>19.886842105263163</v>
      </c>
      <c r="D16">
        <v>22.000400000000003</v>
      </c>
      <c r="E16">
        <v>14.040027027027033</v>
      </c>
      <c r="F16">
        <v>26.535666666666675</v>
      </c>
      <c r="G16">
        <v>20.33871186440679</v>
      </c>
      <c r="H16">
        <v>26.385359649122808</v>
      </c>
      <c r="I16">
        <v>20.440767676767678</v>
      </c>
      <c r="J16">
        <v>30.233805555555541</v>
      </c>
      <c r="K16">
        <v>25.356944020356234</v>
      </c>
      <c r="L16">
        <v>18.987142857142867</v>
      </c>
      <c r="M16">
        <v>10.822415094339615</v>
      </c>
      <c r="N16">
        <v>18.776754716981138</v>
      </c>
      <c r="O16">
        <v>23.176629629629641</v>
      </c>
      <c r="P16">
        <v>24.422000000000011</v>
      </c>
      <c r="Q16">
        <v>19.019666666666669</v>
      </c>
      <c r="R16">
        <v>24.426333333333332</v>
      </c>
      <c r="S16">
        <v>24.676844086021493</v>
      </c>
      <c r="T16">
        <v>27.976824561403507</v>
      </c>
      <c r="U16">
        <v>29.936484848484881</v>
      </c>
      <c r="V16">
        <v>21.733333333333292</v>
      </c>
      <c r="W16">
        <v>28.425624113475191</v>
      </c>
    </row>
    <row r="17" spans="1:23" x14ac:dyDescent="0.2">
      <c r="A17">
        <v>2019</v>
      </c>
      <c r="B17">
        <v>16</v>
      </c>
      <c r="C17">
        <v>21.868252631578947</v>
      </c>
      <c r="D17">
        <v>23.0412</v>
      </c>
      <c r="E17">
        <v>12.279346846846849</v>
      </c>
      <c r="F17">
        <v>27.182000000000013</v>
      </c>
      <c r="G17">
        <v>18.558005649717515</v>
      </c>
      <c r="H17">
        <v>26.995837719298219</v>
      </c>
      <c r="I17">
        <v>23.100808080808083</v>
      </c>
      <c r="J17">
        <v>33.675148148148153</v>
      </c>
      <c r="K17">
        <v>25.889936386768483</v>
      </c>
      <c r="L17">
        <v>26.819142857142872</v>
      </c>
      <c r="M17">
        <v>13.407501048218032</v>
      </c>
      <c r="N17">
        <v>18.42822641509434</v>
      </c>
      <c r="O17">
        <v>22.519950617283957</v>
      </c>
      <c r="P17">
        <v>23.505018518518519</v>
      </c>
      <c r="Q17">
        <v>20.21629166666667</v>
      </c>
      <c r="R17">
        <v>26.415999999999997</v>
      </c>
      <c r="S17">
        <v>26.956537634408591</v>
      </c>
      <c r="T17">
        <v>29.538087719298218</v>
      </c>
      <c r="U17">
        <v>35.805757575757603</v>
      </c>
      <c r="V17">
        <v>23.010333333333353</v>
      </c>
      <c r="W17">
        <v>34.020836879432665</v>
      </c>
    </row>
    <row r="18" spans="1:23" x14ac:dyDescent="0.2">
      <c r="A18">
        <v>2019</v>
      </c>
      <c r="B18">
        <v>17</v>
      </c>
      <c r="C18">
        <v>23.0992</v>
      </c>
      <c r="D18">
        <v>23.0412</v>
      </c>
      <c r="E18">
        <v>10.706999999999994</v>
      </c>
      <c r="F18">
        <v>26.578083333333339</v>
      </c>
      <c r="G18">
        <v>17.495587570621481</v>
      </c>
      <c r="H18">
        <v>26.440285087719307</v>
      </c>
      <c r="I18">
        <v>24.282555555555579</v>
      </c>
      <c r="J18">
        <v>34.604111111111102</v>
      </c>
      <c r="K18">
        <v>29.992569974554698</v>
      </c>
      <c r="L18">
        <v>29.863619047619057</v>
      </c>
      <c r="M18">
        <v>13.268779874213845</v>
      </c>
      <c r="N18">
        <v>19.881471698113213</v>
      </c>
      <c r="O18">
        <v>21.410555555555561</v>
      </c>
      <c r="P18">
        <v>24.073444444444437</v>
      </c>
      <c r="Q18">
        <v>22.210666666666668</v>
      </c>
      <c r="R18">
        <v>30.344666666666665</v>
      </c>
      <c r="S18">
        <v>31.969440860215084</v>
      </c>
      <c r="T18">
        <v>32.446657894736838</v>
      </c>
      <c r="U18">
        <v>32.013878787878781</v>
      </c>
      <c r="V18">
        <v>26.951333333333313</v>
      </c>
      <c r="W18">
        <v>30.588539007092187</v>
      </c>
    </row>
    <row r="19" spans="1:23" x14ac:dyDescent="0.2">
      <c r="A19">
        <v>2019</v>
      </c>
      <c r="B19">
        <v>18</v>
      </c>
      <c r="C19">
        <v>21.601231578947374</v>
      </c>
      <c r="D19">
        <v>23.189771428571426</v>
      </c>
      <c r="E19">
        <v>11.401054054054052</v>
      </c>
      <c r="F19">
        <v>25.370249999999999</v>
      </c>
      <c r="G19">
        <v>18.752101694915275</v>
      </c>
      <c r="H19">
        <v>22.944162280701779</v>
      </c>
      <c r="I19">
        <v>22.71414141414142</v>
      </c>
      <c r="J19">
        <v>35.038249999999998</v>
      </c>
      <c r="K19">
        <v>31.006190839694622</v>
      </c>
      <c r="L19">
        <v>26.104267857142833</v>
      </c>
      <c r="M19">
        <v>13.523853249475904</v>
      </c>
      <c r="N19">
        <v>21.050188679245281</v>
      </c>
      <c r="O19">
        <v>22.667296296296289</v>
      </c>
      <c r="P19">
        <v>25.915666666666656</v>
      </c>
      <c r="Q19">
        <v>22.210666666666668</v>
      </c>
      <c r="R19">
        <v>38.201999999999998</v>
      </c>
      <c r="S19">
        <v>27.294725806451613</v>
      </c>
      <c r="T19">
        <v>37.870649122807066</v>
      </c>
      <c r="U19">
        <v>32.022878787878838</v>
      </c>
      <c r="V19">
        <v>26.174666666666699</v>
      </c>
      <c r="W19">
        <v>33.096950354609859</v>
      </c>
    </row>
    <row r="20" spans="1:23" x14ac:dyDescent="0.2">
      <c r="A20">
        <v>2019</v>
      </c>
      <c r="B20">
        <v>19</v>
      </c>
      <c r="C20">
        <v>21.613968421052626</v>
      </c>
      <c r="D20">
        <v>24.081199999999999</v>
      </c>
      <c r="E20">
        <v>11.19783333333335</v>
      </c>
      <c r="F20">
        <v>26.485937499999995</v>
      </c>
      <c r="G20">
        <v>19.005158192090374</v>
      </c>
      <c r="H20">
        <v>30.409100877192969</v>
      </c>
      <c r="I20">
        <v>23.380262626262628</v>
      </c>
      <c r="J20">
        <v>35.082666666666675</v>
      </c>
      <c r="K20">
        <v>31.212284987277371</v>
      </c>
      <c r="L20">
        <v>27.267214285714278</v>
      </c>
      <c r="M20">
        <v>14.704490566037745</v>
      </c>
      <c r="N20">
        <v>20.856716981132081</v>
      </c>
      <c r="O20">
        <v>24.43376543209876</v>
      </c>
      <c r="P20">
        <v>26.400796296296285</v>
      </c>
      <c r="Q20">
        <v>21.395416666666669</v>
      </c>
      <c r="R20">
        <v>36.125777777777785</v>
      </c>
      <c r="S20">
        <v>27.340451612903255</v>
      </c>
      <c r="T20">
        <v>35.822412280701791</v>
      </c>
      <c r="U20">
        <v>31.468969696969715</v>
      </c>
      <c r="V20">
        <v>33.013333333333357</v>
      </c>
      <c r="W20">
        <v>30.801372340425569</v>
      </c>
    </row>
    <row r="21" spans="1:23" x14ac:dyDescent="0.2">
      <c r="A21">
        <v>2019</v>
      </c>
      <c r="B21">
        <v>20</v>
      </c>
      <c r="C21">
        <v>20.864031578947358</v>
      </c>
      <c r="D21">
        <v>24.081199999999999</v>
      </c>
      <c r="E21">
        <v>12.373099099099111</v>
      </c>
      <c r="F21">
        <v>29.832999999999988</v>
      </c>
      <c r="G21">
        <v>21.784683615819191</v>
      </c>
      <c r="H21">
        <v>30.912785087719293</v>
      </c>
      <c r="I21">
        <v>23.336373737373723</v>
      </c>
      <c r="J21">
        <v>34.348481481481507</v>
      </c>
      <c r="K21">
        <v>34.541244274809166</v>
      </c>
      <c r="L21">
        <v>26.43016071428573</v>
      </c>
      <c r="M21">
        <v>16.97589937106919</v>
      </c>
      <c r="N21">
        <v>18.223396226415097</v>
      </c>
      <c r="O21">
        <v>24.303555555555565</v>
      </c>
      <c r="P21">
        <v>25.513592592592591</v>
      </c>
      <c r="Q21">
        <v>18.949666666666669</v>
      </c>
      <c r="R21">
        <v>35.087666666666671</v>
      </c>
      <c r="S21">
        <v>26.827499999999958</v>
      </c>
      <c r="T21">
        <v>35.676842105263084</v>
      </c>
      <c r="U21">
        <v>34.606696969697012</v>
      </c>
      <c r="V21">
        <v>31.747000000000025</v>
      </c>
      <c r="W21">
        <v>31.908152482269479</v>
      </c>
    </row>
    <row r="22" spans="1:23" x14ac:dyDescent="0.2">
      <c r="A22">
        <v>2019</v>
      </c>
      <c r="B22">
        <v>21</v>
      </c>
      <c r="C22">
        <v>18.379399999999993</v>
      </c>
      <c r="D22">
        <v>24.081199999999999</v>
      </c>
      <c r="E22">
        <v>12.46230630630631</v>
      </c>
      <c r="F22">
        <v>29.98770833333333</v>
      </c>
      <c r="G22">
        <v>25.647790960451953</v>
      </c>
      <c r="H22">
        <v>28.417381578947346</v>
      </c>
      <c r="I22">
        <v>25.231242424242428</v>
      </c>
      <c r="J22">
        <v>36.305574074074038</v>
      </c>
      <c r="K22">
        <v>36.052569974554778</v>
      </c>
      <c r="L22">
        <v>26.067220238095253</v>
      </c>
      <c r="M22">
        <v>18.217207547169807</v>
      </c>
      <c r="N22">
        <v>16.800452830188682</v>
      </c>
      <c r="O22">
        <v>22.085938271604935</v>
      </c>
      <c r="P22">
        <v>24.815222222222225</v>
      </c>
      <c r="Q22">
        <v>18.949666666666669</v>
      </c>
      <c r="R22">
        <v>29.833333333333325</v>
      </c>
      <c r="S22">
        <v>30.005645161290296</v>
      </c>
      <c r="T22">
        <v>38.420684210526368</v>
      </c>
      <c r="U22">
        <v>35.170878787878756</v>
      </c>
      <c r="V22">
        <v>25.416000000000025</v>
      </c>
      <c r="W22">
        <v>33.681319148936204</v>
      </c>
    </row>
    <row r="23" spans="1:23" x14ac:dyDescent="0.2">
      <c r="A23">
        <v>2019</v>
      </c>
      <c r="B23">
        <v>22</v>
      </c>
      <c r="C23">
        <v>21.484305263157886</v>
      </c>
      <c r="D23">
        <v>24.156285714285719</v>
      </c>
      <c r="E23">
        <v>12.630211711711699</v>
      </c>
      <c r="F23">
        <v>30.761250000000004</v>
      </c>
      <c r="G23">
        <v>25.478180790960415</v>
      </c>
      <c r="H23">
        <v>29.319350877192999</v>
      </c>
      <c r="I23">
        <v>26.444545454545466</v>
      </c>
      <c r="J23">
        <v>37.006574074074052</v>
      </c>
      <c r="K23">
        <v>29.184198473282486</v>
      </c>
      <c r="L23">
        <v>26.204845238095221</v>
      </c>
      <c r="M23">
        <v>22.773459119496852</v>
      </c>
      <c r="N23">
        <v>19.075245283018866</v>
      </c>
      <c r="O23">
        <v>23.517691358024692</v>
      </c>
      <c r="P23">
        <v>24.986333333333334</v>
      </c>
      <c r="Q23">
        <v>18.965833333333336</v>
      </c>
      <c r="R23">
        <v>29.632999999999992</v>
      </c>
      <c r="S23">
        <v>32.389693548387072</v>
      </c>
      <c r="T23">
        <v>37.95395614035089</v>
      </c>
      <c r="U23">
        <v>31.212000000000021</v>
      </c>
      <c r="V23">
        <v>24.749666666666645</v>
      </c>
      <c r="W23">
        <v>36.133705673758833</v>
      </c>
    </row>
    <row r="24" spans="1:23" x14ac:dyDescent="0.2">
      <c r="A24">
        <v>2019</v>
      </c>
      <c r="B24">
        <v>23</v>
      </c>
      <c r="C24">
        <v>18.168589473684214</v>
      </c>
      <c r="D24">
        <v>24.212600000000005</v>
      </c>
      <c r="E24">
        <v>17.565563063063074</v>
      </c>
      <c r="F24">
        <v>30.650951388888888</v>
      </c>
      <c r="G24">
        <v>25.128700564971759</v>
      </c>
      <c r="H24">
        <v>34.29647368421049</v>
      </c>
      <c r="I24">
        <v>26.491121212121225</v>
      </c>
      <c r="J24">
        <v>35.565819444444422</v>
      </c>
      <c r="K24">
        <v>32.391244274809196</v>
      </c>
      <c r="L24">
        <v>26.452851190476178</v>
      </c>
      <c r="M24">
        <v>21.950109014675071</v>
      </c>
      <c r="N24">
        <v>22.51584905660377</v>
      </c>
      <c r="O24">
        <v>25.598037037037038</v>
      </c>
      <c r="P24">
        <v>27.108111111111114</v>
      </c>
      <c r="Q24">
        <v>19.079000000000004</v>
      </c>
      <c r="R24">
        <v>29.232333333333326</v>
      </c>
      <c r="S24">
        <v>33.591462365591397</v>
      </c>
      <c r="T24">
        <v>35.298175438596573</v>
      </c>
      <c r="U24">
        <v>36.577060606060634</v>
      </c>
      <c r="V24">
        <v>27.944999999999965</v>
      </c>
      <c r="W24">
        <v>31.523556737588638</v>
      </c>
    </row>
    <row r="25" spans="1:23" x14ac:dyDescent="0.2">
      <c r="A25">
        <v>2019</v>
      </c>
      <c r="B25">
        <v>24</v>
      </c>
      <c r="C25">
        <v>16.741442105263161</v>
      </c>
      <c r="D25">
        <v>24.212600000000005</v>
      </c>
      <c r="E25">
        <v>17.873810810810813</v>
      </c>
      <c r="F25">
        <v>29.437666666666662</v>
      </c>
      <c r="G25">
        <v>26.449107344632779</v>
      </c>
      <c r="H25">
        <v>32.150021929824582</v>
      </c>
      <c r="I25">
        <v>24.066242424242439</v>
      </c>
      <c r="J25">
        <v>33.145944444444439</v>
      </c>
      <c r="K25">
        <v>26.511592875318041</v>
      </c>
      <c r="L25">
        <v>24.217458333333315</v>
      </c>
      <c r="M25">
        <v>19.83790356394131</v>
      </c>
      <c r="N25">
        <v>24.693641509433963</v>
      </c>
      <c r="O25">
        <v>29.265469135802462</v>
      </c>
      <c r="P25">
        <v>28.113787037037028</v>
      </c>
      <c r="Q25">
        <v>19.079000000000004</v>
      </c>
      <c r="R25">
        <v>28.909222222222215</v>
      </c>
      <c r="S25">
        <v>30.719153225806437</v>
      </c>
      <c r="T25">
        <v>33.046026315789462</v>
      </c>
      <c r="U25">
        <v>37.231424242424204</v>
      </c>
      <c r="V25">
        <v>27.934999999999981</v>
      </c>
      <c r="W25">
        <v>34.793382978723358</v>
      </c>
    </row>
    <row r="26" spans="1:23" x14ac:dyDescent="0.2">
      <c r="A26">
        <v>2019</v>
      </c>
      <c r="B26">
        <v>25</v>
      </c>
      <c r="C26">
        <v>18.057999999999996</v>
      </c>
      <c r="D26">
        <v>24.212600000000005</v>
      </c>
      <c r="E26">
        <v>18.000213963963969</v>
      </c>
      <c r="F26">
        <v>29.437666666666662</v>
      </c>
      <c r="G26">
        <v>20.42034463276833</v>
      </c>
      <c r="H26">
        <v>32.278789473684249</v>
      </c>
      <c r="I26">
        <v>19.220055555555561</v>
      </c>
      <c r="J26">
        <v>37.218888888888898</v>
      </c>
      <c r="K26">
        <v>30.294936386768448</v>
      </c>
      <c r="L26">
        <v>26.792803571428585</v>
      </c>
      <c r="M26">
        <v>19.726953179594695</v>
      </c>
      <c r="N26">
        <v>23.180000000000003</v>
      </c>
      <c r="O26">
        <v>28.429345679012354</v>
      </c>
      <c r="P26">
        <v>28.741499999999988</v>
      </c>
      <c r="Q26">
        <v>19.079000000000004</v>
      </c>
      <c r="R26">
        <v>28.747666666666657</v>
      </c>
      <c r="S26">
        <v>28.419475806451597</v>
      </c>
      <c r="T26">
        <v>35.069403508771863</v>
      </c>
      <c r="U26">
        <v>40.535303030302998</v>
      </c>
      <c r="V26">
        <v>27.887333333333341</v>
      </c>
      <c r="W26">
        <v>34.516581560283704</v>
      </c>
    </row>
    <row r="28" spans="1:23" x14ac:dyDescent="0.2">
      <c r="A28" s="1"/>
      <c r="C28" t="s">
        <v>2</v>
      </c>
      <c r="E28" t="s">
        <v>45</v>
      </c>
      <c r="F28" t="s">
        <v>47</v>
      </c>
      <c r="G28" t="s">
        <v>43</v>
      </c>
      <c r="H28" t="s">
        <v>44</v>
      </c>
      <c r="I28" t="s">
        <v>48</v>
      </c>
      <c r="J28" t="s">
        <v>49</v>
      </c>
      <c r="K28" t="s">
        <v>50</v>
      </c>
      <c r="L28" t="s">
        <v>51</v>
      </c>
      <c r="M28" t="s">
        <v>52</v>
      </c>
      <c r="N28" t="s">
        <v>53</v>
      </c>
      <c r="O28" t="s">
        <v>54</v>
      </c>
      <c r="P28" t="s">
        <v>55</v>
      </c>
    </row>
    <row r="29" spans="1:23" x14ac:dyDescent="0.2">
      <c r="B29">
        <v>1</v>
      </c>
      <c r="C29">
        <f>C2^4</f>
        <v>146.05585285062028</v>
      </c>
      <c r="D29" t="s">
        <v>25</v>
      </c>
      <c r="E29">
        <f>(SUM(C29:C34)/COUNT(C29:C34))^0.25</f>
        <v>6.5135623297633609</v>
      </c>
      <c r="F29">
        <f>(E29*0.000001)/2</f>
        <v>3.2567811648816802E-6</v>
      </c>
      <c r="G29">
        <v>2006923232.2914503</v>
      </c>
      <c r="H29">
        <f>(G29*((PI()*F29^4)/(8*0.000000001)))*998</f>
        <v>8.8486190481352797E-2</v>
      </c>
      <c r="I29" s="6">
        <v>3.2821790000000001E-3</v>
      </c>
      <c r="J29">
        <f>(H29*I29)/2</f>
        <v>1.4521375809394802E-4</v>
      </c>
      <c r="K29">
        <f>1/J29</f>
        <v>6886.3998365295138</v>
      </c>
      <c r="L29">
        <f>(K30*0.8)+(K29*0.2)</f>
        <v>1511.4320624276052</v>
      </c>
      <c r="M29">
        <f>1/L29</f>
        <v>6.6162418070835267E-4</v>
      </c>
      <c r="N29">
        <f>M29*0.5</f>
        <v>3.3081209035417633E-4</v>
      </c>
      <c r="O29">
        <f>M29*0.12</f>
        <v>7.9394901685002318E-5</v>
      </c>
      <c r="P29">
        <f>M29*0.05</f>
        <v>3.3081209035417635E-5</v>
      </c>
    </row>
    <row r="30" spans="1:23" x14ac:dyDescent="0.2">
      <c r="B30">
        <v>2</v>
      </c>
      <c r="C30">
        <f t="shared" ref="C30:C53" si="0">C3^4</f>
        <v>378.91157336594989</v>
      </c>
      <c r="D30" t="s">
        <v>26</v>
      </c>
      <c r="E30">
        <f>(SUM(C35:C53)/COUNT(C35:C53))^0.25</f>
        <v>18.804348614547862</v>
      </c>
      <c r="F30">
        <f>(E30*0.000001)/2</f>
        <v>9.4021743072739309E-6</v>
      </c>
      <c r="G30">
        <v>1186469668.6639593</v>
      </c>
      <c r="H30">
        <f>(G30*((PI()*F30^4)/(8*0.000000001)))*998</f>
        <v>3.6337936406470934</v>
      </c>
      <c r="I30" s="6">
        <v>3.2821790000000001E-3</v>
      </c>
      <c r="J30">
        <f>(H30*I30)/2</f>
        <v>5.9633805888327186E-3</v>
      </c>
      <c r="K30">
        <f>1/J30</f>
        <v>167.69011890212789</v>
      </c>
      <c r="N30" t="s">
        <v>56</v>
      </c>
      <c r="O30" t="s">
        <v>57</v>
      </c>
      <c r="P30" t="s">
        <v>59</v>
      </c>
    </row>
    <row r="31" spans="1:23" x14ac:dyDescent="0.2">
      <c r="B31">
        <v>3</v>
      </c>
      <c r="C31">
        <f t="shared" si="0"/>
        <v>1229.8058595265416</v>
      </c>
      <c r="N31">
        <f>1/N29</f>
        <v>3022.8641248552103</v>
      </c>
      <c r="O31">
        <f t="shared" ref="O31:P31" si="1">1/O29</f>
        <v>12595.26718689671</v>
      </c>
      <c r="P31">
        <f t="shared" si="1"/>
        <v>30228.641248552103</v>
      </c>
    </row>
    <row r="32" spans="1:23" x14ac:dyDescent="0.2">
      <c r="B32">
        <v>4</v>
      </c>
      <c r="C32">
        <f t="shared" si="0"/>
        <v>3502.9603571695907</v>
      </c>
    </row>
    <row r="33" spans="2:9" x14ac:dyDescent="0.2">
      <c r="B33">
        <v>5</v>
      </c>
      <c r="C33">
        <f t="shared" si="0"/>
        <v>1586.7292292262011</v>
      </c>
    </row>
    <row r="34" spans="2:9" x14ac:dyDescent="0.2">
      <c r="B34">
        <v>6</v>
      </c>
      <c r="C34">
        <f t="shared" si="0"/>
        <v>3955.5816005492534</v>
      </c>
    </row>
    <row r="35" spans="2:9" x14ac:dyDescent="0.2">
      <c r="B35">
        <v>7</v>
      </c>
      <c r="C35">
        <f t="shared" si="0"/>
        <v>10717.836302893222</v>
      </c>
      <c r="H35" t="s">
        <v>26</v>
      </c>
      <c r="I35" t="s">
        <v>25</v>
      </c>
    </row>
    <row r="36" spans="2:9" x14ac:dyDescent="0.2">
      <c r="B36">
        <v>8</v>
      </c>
      <c r="C36">
        <f t="shared" si="0"/>
        <v>26217.912653543382</v>
      </c>
      <c r="G36" t="s">
        <v>35</v>
      </c>
      <c r="H36">
        <v>1186469668.6639593</v>
      </c>
      <c r="I36">
        <v>2006923232.2914503</v>
      </c>
    </row>
    <row r="37" spans="2:9" x14ac:dyDescent="0.2">
      <c r="B37">
        <v>9</v>
      </c>
      <c r="C37">
        <f t="shared" si="0"/>
        <v>49654.653633270464</v>
      </c>
      <c r="G37" t="s">
        <v>34</v>
      </c>
      <c r="H37">
        <v>1080728183.8357105</v>
      </c>
      <c r="I37">
        <v>1705561603.5451839</v>
      </c>
    </row>
    <row r="38" spans="2:9" x14ac:dyDescent="0.2">
      <c r="B38">
        <v>10</v>
      </c>
      <c r="C38">
        <f t="shared" si="0"/>
        <v>36115.701880884844</v>
      </c>
    </row>
    <row r="39" spans="2:9" x14ac:dyDescent="0.2">
      <c r="B39">
        <v>11</v>
      </c>
      <c r="C39">
        <f t="shared" si="0"/>
        <v>48452.270687515673</v>
      </c>
    </row>
    <row r="40" spans="2:9" x14ac:dyDescent="0.2">
      <c r="B40">
        <v>12</v>
      </c>
      <c r="C40">
        <f t="shared" si="0"/>
        <v>76132.659955335432</v>
      </c>
    </row>
    <row r="41" spans="2:9" x14ac:dyDescent="0.2">
      <c r="B41">
        <v>13</v>
      </c>
      <c r="C41">
        <f t="shared" si="0"/>
        <v>105978.00514531379</v>
      </c>
    </row>
    <row r="42" spans="2:9" x14ac:dyDescent="0.2">
      <c r="B42">
        <v>14</v>
      </c>
      <c r="C42">
        <f t="shared" si="0"/>
        <v>106120.52966336648</v>
      </c>
    </row>
    <row r="43" spans="2:9" x14ac:dyDescent="0.2">
      <c r="B43">
        <v>15</v>
      </c>
      <c r="C43">
        <f t="shared" si="0"/>
        <v>156409.56291800653</v>
      </c>
    </row>
    <row r="44" spans="2:9" x14ac:dyDescent="0.2">
      <c r="B44">
        <v>16</v>
      </c>
      <c r="C44">
        <f t="shared" si="0"/>
        <v>228694.8209479966</v>
      </c>
    </row>
    <row r="45" spans="2:9" x14ac:dyDescent="0.2">
      <c r="B45">
        <v>17</v>
      </c>
      <c r="C45">
        <f t="shared" si="0"/>
        <v>284700.18969781505</v>
      </c>
    </row>
    <row r="46" spans="2:9" x14ac:dyDescent="0.2">
      <c r="B46">
        <v>18</v>
      </c>
      <c r="C46">
        <f t="shared" si="0"/>
        <v>217727.88375911996</v>
      </c>
    </row>
    <row r="47" spans="2:9" x14ac:dyDescent="0.2">
      <c r="B47">
        <v>19</v>
      </c>
      <c r="C47">
        <f t="shared" si="0"/>
        <v>218241.85804152046</v>
      </c>
    </row>
    <row r="48" spans="2:9" x14ac:dyDescent="0.2">
      <c r="B48">
        <v>20</v>
      </c>
      <c r="C48">
        <f t="shared" si="0"/>
        <v>189492.89269205267</v>
      </c>
    </row>
    <row r="49" spans="1:20" x14ac:dyDescent="0.2">
      <c r="B49">
        <v>21</v>
      </c>
      <c r="C49">
        <f t="shared" si="0"/>
        <v>114110.42385511188</v>
      </c>
      <c r="G49" s="3"/>
    </row>
    <row r="50" spans="1:20" x14ac:dyDescent="0.2">
      <c r="B50">
        <v>22</v>
      </c>
      <c r="C50">
        <f t="shared" si="0"/>
        <v>213051.82462826592</v>
      </c>
    </row>
    <row r="51" spans="1:20" x14ac:dyDescent="0.2">
      <c r="B51">
        <v>23</v>
      </c>
      <c r="C51">
        <f t="shared" si="0"/>
        <v>108964.45422000338</v>
      </c>
    </row>
    <row r="52" spans="1:20" x14ac:dyDescent="0.2">
      <c r="B52">
        <v>24</v>
      </c>
      <c r="C52">
        <f t="shared" si="0"/>
        <v>78554.571019622963</v>
      </c>
    </row>
    <row r="53" spans="1:20" x14ac:dyDescent="0.2">
      <c r="B53">
        <v>25</v>
      </c>
      <c r="C53">
        <f t="shared" si="0"/>
        <v>106335.57767538042</v>
      </c>
    </row>
    <row r="54" spans="1:20" x14ac:dyDescent="0.2">
      <c r="E54" t="s">
        <v>62</v>
      </c>
    </row>
    <row r="55" spans="1:20" x14ac:dyDescent="0.2">
      <c r="B55" t="s">
        <v>13</v>
      </c>
      <c r="C55" t="s">
        <v>60</v>
      </c>
      <c r="E55" t="s">
        <v>45</v>
      </c>
      <c r="F55" t="s">
        <v>47</v>
      </c>
      <c r="G55" t="s">
        <v>43</v>
      </c>
      <c r="H55" t="s">
        <v>73</v>
      </c>
      <c r="I55" t="s">
        <v>87</v>
      </c>
      <c r="J55" t="s">
        <v>49</v>
      </c>
      <c r="K55" t="s">
        <v>50</v>
      </c>
      <c r="L55" t="s">
        <v>51</v>
      </c>
      <c r="M55" t="s">
        <v>52</v>
      </c>
      <c r="N55" t="s">
        <v>53</v>
      </c>
      <c r="O55" t="s">
        <v>54</v>
      </c>
      <c r="P55" t="s">
        <v>55</v>
      </c>
    </row>
    <row r="56" spans="1:20" x14ac:dyDescent="0.2">
      <c r="A56">
        <v>1</v>
      </c>
      <c r="B56">
        <v>3.1628679245283013</v>
      </c>
      <c r="C56">
        <f>B56^4</f>
        <v>100.07468409928137</v>
      </c>
      <c r="D56" t="s">
        <v>25</v>
      </c>
      <c r="E56">
        <f>(SUM(C56:C62)/COUNT(C56:C62))^0.25</f>
        <v>7.8396960921921872</v>
      </c>
      <c r="F56">
        <f>(E56*0.000001)/2</f>
        <v>3.9198480460960935E-6</v>
      </c>
      <c r="G56" s="3">
        <v>1945044766.9033651</v>
      </c>
      <c r="H56" s="3">
        <f>(G56*((PI()*F56^4)/(8*0.000000001)))*998</f>
        <v>0.17996869010648267</v>
      </c>
      <c r="I56" s="6">
        <v>1.6681856990561855E-3</v>
      </c>
      <c r="J56" s="3">
        <f>(H56*I56)/1.8</f>
        <v>1.6678955284083824E-4</v>
      </c>
      <c r="K56">
        <f>1/J56</f>
        <v>5995.5793571451504</v>
      </c>
      <c r="L56">
        <f>(K57*0.7)+(K56*0.3)</f>
        <v>1989.3423918188926</v>
      </c>
      <c r="M56">
        <f>1/L56</f>
        <v>5.0267867618589352E-4</v>
      </c>
      <c r="N56">
        <f>M56*0.5</f>
        <v>2.5133933809294676E-4</v>
      </c>
      <c r="O56">
        <f>M56*0.12</f>
        <v>6.0321441142307221E-5</v>
      </c>
      <c r="P56">
        <f>M56*0.05</f>
        <v>2.5133933809294679E-5</v>
      </c>
    </row>
    <row r="57" spans="1:20" x14ac:dyDescent="0.2">
      <c r="A57">
        <v>2</v>
      </c>
      <c r="B57">
        <v>4.9385283018867909</v>
      </c>
      <c r="C57">
        <f t="shared" ref="C57:C80" si="2">B57^4</f>
        <v>594.82633492506739</v>
      </c>
      <c r="D57" t="s">
        <v>26</v>
      </c>
      <c r="E57">
        <f>(SUM(C63:C80)/COUNT(C63:C80))^0.25</f>
        <v>18.783433003329968</v>
      </c>
      <c r="F57">
        <f>(E57*0.000001)/2</f>
        <v>9.3917165016649842E-6</v>
      </c>
      <c r="G57" s="3">
        <v>1299202009.309938</v>
      </c>
      <c r="H57">
        <f>(G57*((PI()*F57^4)/(8*0.000000001)))*998</f>
        <v>3.9613845963166376</v>
      </c>
      <c r="I57" s="6">
        <v>1.6681856990561855E-3</v>
      </c>
      <c r="J57" s="3">
        <f>(H57*I57)/1.8</f>
        <v>3.671291740020486E-3</v>
      </c>
      <c r="K57">
        <f>1/J57</f>
        <v>272.38369239335361</v>
      </c>
      <c r="N57" t="s">
        <v>56</v>
      </c>
      <c r="O57" t="s">
        <v>57</v>
      </c>
      <c r="P57" t="s">
        <v>59</v>
      </c>
    </row>
    <row r="58" spans="1:20" x14ac:dyDescent="0.2">
      <c r="A58">
        <v>3</v>
      </c>
      <c r="B58">
        <v>6.3984150943396223</v>
      </c>
      <c r="C58">
        <f t="shared" si="2"/>
        <v>1676.0603231912746</v>
      </c>
      <c r="N58">
        <f>1/N56</f>
        <v>3978.6847836377851</v>
      </c>
      <c r="O58">
        <f t="shared" ref="O58:P58" si="3">1/O56</f>
        <v>16577.853265157439</v>
      </c>
      <c r="P58">
        <f t="shared" si="3"/>
        <v>39786.847836377849</v>
      </c>
    </row>
    <row r="59" spans="1:20" x14ac:dyDescent="0.2">
      <c r="A59">
        <v>4</v>
      </c>
      <c r="B59">
        <v>7.737094339622641</v>
      </c>
      <c r="C59">
        <f t="shared" si="2"/>
        <v>3583.5343292675198</v>
      </c>
    </row>
    <row r="60" spans="1:20" x14ac:dyDescent="0.2">
      <c r="A60">
        <v>5</v>
      </c>
      <c r="B60">
        <v>9.149132075471698</v>
      </c>
      <c r="C60">
        <f t="shared" si="2"/>
        <v>7006.7978525371645</v>
      </c>
    </row>
    <row r="61" spans="1:20" x14ac:dyDescent="0.2">
      <c r="A61">
        <v>6</v>
      </c>
      <c r="B61">
        <v>9.4647547169811315</v>
      </c>
      <c r="C61">
        <f t="shared" si="2"/>
        <v>8024.8598072170444</v>
      </c>
      <c r="I61" s="3"/>
      <c r="J61" s="3"/>
    </row>
    <row r="62" spans="1:20" x14ac:dyDescent="0.2">
      <c r="A62">
        <v>7</v>
      </c>
      <c r="B62">
        <v>8.594415094339622</v>
      </c>
      <c r="C62">
        <f t="shared" si="2"/>
        <v>5455.8861843837785</v>
      </c>
      <c r="E62" t="s">
        <v>61</v>
      </c>
      <c r="N62" t="s">
        <v>106</v>
      </c>
      <c r="R62" t="s">
        <v>107</v>
      </c>
    </row>
    <row r="63" spans="1:20" x14ac:dyDescent="0.2">
      <c r="A63">
        <v>8</v>
      </c>
      <c r="B63">
        <v>10.731245283018868</v>
      </c>
      <c r="C63">
        <f t="shared" si="2"/>
        <v>13261.739304836545</v>
      </c>
      <c r="E63" t="s">
        <v>45</v>
      </c>
      <c r="F63" t="s">
        <v>47</v>
      </c>
      <c r="G63" t="s">
        <v>43</v>
      </c>
      <c r="H63" t="s">
        <v>73</v>
      </c>
      <c r="I63" t="s">
        <v>72</v>
      </c>
      <c r="J63" t="s">
        <v>49</v>
      </c>
      <c r="K63" t="s">
        <v>50</v>
      </c>
      <c r="L63" t="s">
        <v>51</v>
      </c>
      <c r="M63" t="s">
        <v>52</v>
      </c>
      <c r="N63" t="s">
        <v>53</v>
      </c>
      <c r="O63" t="s">
        <v>54</v>
      </c>
      <c r="P63" t="s">
        <v>55</v>
      </c>
      <c r="R63" t="s">
        <v>53</v>
      </c>
      <c r="S63" t="s">
        <v>54</v>
      </c>
      <c r="T63" t="s">
        <v>111</v>
      </c>
    </row>
    <row r="64" spans="1:20" x14ac:dyDescent="0.2">
      <c r="A64">
        <v>9</v>
      </c>
      <c r="B64">
        <v>12.838113207547172</v>
      </c>
      <c r="C64">
        <f t="shared" si="2"/>
        <v>27164.693174688669</v>
      </c>
      <c r="D64" t="s">
        <v>25</v>
      </c>
      <c r="E64">
        <f>(SUM(C56:C58)/COUNT(C56:C58))^0.25</f>
        <v>5.3021352840786244</v>
      </c>
      <c r="F64">
        <f>(E64*0.000001)/2</f>
        <v>2.6510676420393121E-6</v>
      </c>
      <c r="G64" s="3">
        <v>1945044766.9033651</v>
      </c>
      <c r="H64" s="3">
        <f>(G64*((PI()*F64^4)/(8*0.000000001)))*998</f>
        <v>3.7653319033844029E-2</v>
      </c>
      <c r="I64" s="6">
        <v>1.6681856990561855E-3</v>
      </c>
      <c r="J64" s="3">
        <f>(H64*I64)/1.8</f>
        <v>3.4895960185699265E-5</v>
      </c>
      <c r="K64">
        <f>1/J64</f>
        <v>28656.612246188044</v>
      </c>
      <c r="L64">
        <f>1/M64</f>
        <v>365.50537764939708</v>
      </c>
      <c r="M64">
        <f>0.9*J65+0.1*J64</f>
        <v>2.7359378579628665E-3</v>
      </c>
      <c r="N64">
        <f>M64*0.5</f>
        <v>1.3679689289814332E-3</v>
      </c>
      <c r="O64">
        <f>M64*0.12</f>
        <v>3.2831254295554395E-4</v>
      </c>
      <c r="P64">
        <f>M64*0.05</f>
        <v>1.3679689289814332E-4</v>
      </c>
      <c r="R64">
        <f>(J65*0.9*0.25)+(J64*0.1)</f>
        <v>6.8660166150464415E-4</v>
      </c>
      <c r="S64">
        <f>(J65*0.9*0.06)+(J64*0.1)</f>
        <v>1.6743649173522771E-4</v>
      </c>
      <c r="T64">
        <f>(J65*0.9*0)+(J64*0.1*1)</f>
        <v>3.4895960185699267E-6</v>
      </c>
    </row>
    <row r="65" spans="1:20" x14ac:dyDescent="0.2">
      <c r="A65">
        <v>10</v>
      </c>
      <c r="B65">
        <v>11.877886792452834</v>
      </c>
      <c r="C65">
        <f t="shared" si="2"/>
        <v>19904.7499812596</v>
      </c>
      <c r="D65" t="s">
        <v>26</v>
      </c>
      <c r="E65">
        <f>(SUM(C59:C80)/COUNT(C59:C80))^0.25</f>
        <v>17.91214537683938</v>
      </c>
      <c r="F65">
        <f>(E65*0.000001)/2</f>
        <v>8.9560726884196893E-6</v>
      </c>
      <c r="G65" s="3">
        <v>1299202009.309938</v>
      </c>
      <c r="H65">
        <f>(G65*((PI()*F65^4)/(8*0.000000001)))*998</f>
        <v>3.2759521478816684</v>
      </c>
      <c r="I65" s="6">
        <v>1.6681856990561855E-3</v>
      </c>
      <c r="J65">
        <f>(H65*I65)/1.8</f>
        <v>3.0360536243825517E-3</v>
      </c>
      <c r="K65">
        <f>1/J65</f>
        <v>329.37494646635957</v>
      </c>
      <c r="N65" t="s">
        <v>56</v>
      </c>
      <c r="O65" t="s">
        <v>57</v>
      </c>
      <c r="P65" t="s">
        <v>59</v>
      </c>
    </row>
    <row r="66" spans="1:20" x14ac:dyDescent="0.2">
      <c r="A66">
        <v>11</v>
      </c>
      <c r="B66">
        <v>13.373584905660376</v>
      </c>
      <c r="C66">
        <f t="shared" si="2"/>
        <v>31988.314491670848</v>
      </c>
      <c r="N66">
        <f>1/N64</f>
        <v>731.01075529879415</v>
      </c>
      <c r="O66">
        <f t="shared" ref="O66:P66" si="4">1/O64</f>
        <v>3045.8781470783092</v>
      </c>
      <c r="P66">
        <f t="shared" si="4"/>
        <v>7310.1075529879417</v>
      </c>
      <c r="R66">
        <f>1/R64</f>
        <v>1456.4485582638458</v>
      </c>
      <c r="S66">
        <f>1/S64</f>
        <v>5972.413717204071</v>
      </c>
      <c r="T66">
        <f>1/T64</f>
        <v>286566.12246188044</v>
      </c>
    </row>
    <row r="67" spans="1:20" x14ac:dyDescent="0.2">
      <c r="A67">
        <v>12</v>
      </c>
      <c r="B67">
        <v>13.367584905660376</v>
      </c>
      <c r="C67">
        <f t="shared" si="2"/>
        <v>31930.947446355032</v>
      </c>
    </row>
    <row r="68" spans="1:20" x14ac:dyDescent="0.2">
      <c r="A68">
        <v>13</v>
      </c>
      <c r="B68">
        <v>13.891018867924535</v>
      </c>
      <c r="C68">
        <f t="shared" si="2"/>
        <v>37233.717970716723</v>
      </c>
    </row>
    <row r="69" spans="1:20" x14ac:dyDescent="0.2">
      <c r="A69">
        <v>14</v>
      </c>
      <c r="B69">
        <v>15.506528301886798</v>
      </c>
      <c r="C69">
        <f t="shared" si="2"/>
        <v>57817.366272899591</v>
      </c>
      <c r="E69" t="s">
        <v>61</v>
      </c>
    </row>
    <row r="70" spans="1:20" x14ac:dyDescent="0.2">
      <c r="A70">
        <v>15</v>
      </c>
      <c r="B70">
        <v>18.776754716981138</v>
      </c>
      <c r="C70">
        <f t="shared" si="2"/>
        <v>124303.14940428441</v>
      </c>
      <c r="E70" t="s">
        <v>45</v>
      </c>
      <c r="F70" t="s">
        <v>47</v>
      </c>
      <c r="G70" t="s">
        <v>43</v>
      </c>
      <c r="H70" t="s">
        <v>73</v>
      </c>
      <c r="I70" t="s">
        <v>72</v>
      </c>
      <c r="J70" t="s">
        <v>49</v>
      </c>
      <c r="K70" t="s">
        <v>50</v>
      </c>
      <c r="L70" t="s">
        <v>51</v>
      </c>
    </row>
    <row r="71" spans="1:20" x14ac:dyDescent="0.2">
      <c r="A71">
        <v>16</v>
      </c>
      <c r="B71">
        <v>18.42822641509434</v>
      </c>
      <c r="C71">
        <f t="shared" si="2"/>
        <v>115327.83996524419</v>
      </c>
      <c r="D71" t="s">
        <v>25</v>
      </c>
      <c r="E71">
        <v>5.3021352840786244</v>
      </c>
      <c r="F71">
        <v>2.6510676420393121E-6</v>
      </c>
      <c r="G71" s="3">
        <v>1945044766.9033651</v>
      </c>
      <c r="H71">
        <f>(G71*((PI()*F71^4)/(8*0.000000001)))*998</f>
        <v>3.7653319033844029E-2</v>
      </c>
      <c r="I71" s="6">
        <v>1.6681856990561855E-3</v>
      </c>
      <c r="J71">
        <f>(H71*I71)/1.8</f>
        <v>3.4895960185699265E-5</v>
      </c>
      <c r="K71">
        <f>1/J71</f>
        <v>28656.612246188044</v>
      </c>
      <c r="L71">
        <f>K71*0.1+K72*0.9</f>
        <v>3162.0986764385284</v>
      </c>
    </row>
    <row r="72" spans="1:20" x14ac:dyDescent="0.2">
      <c r="A72">
        <v>17</v>
      </c>
      <c r="B72">
        <v>19.881471698113213</v>
      </c>
      <c r="C72">
        <f t="shared" si="2"/>
        <v>156240.67882109756</v>
      </c>
      <c r="D72" t="s">
        <v>26</v>
      </c>
      <c r="E72">
        <v>17.91214537683938</v>
      </c>
      <c r="F72">
        <v>8.9560726884196893E-6</v>
      </c>
      <c r="G72" s="3">
        <v>1299202009.309938</v>
      </c>
      <c r="H72">
        <f>(G72*((PI()*F72^4)/(8*0.000000001)))*998</f>
        <v>3.2759521478816684</v>
      </c>
      <c r="I72" s="6">
        <v>1.6681856990561855E-3</v>
      </c>
      <c r="J72">
        <f>(H72*I72)/1.8</f>
        <v>3.0360536243825517E-3</v>
      </c>
      <c r="K72">
        <f>1/J72</f>
        <v>329.37494646635957</v>
      </c>
    </row>
    <row r="73" spans="1:20" x14ac:dyDescent="0.2">
      <c r="A73">
        <v>18</v>
      </c>
      <c r="B73">
        <v>21.050188679245281</v>
      </c>
      <c r="C73">
        <f t="shared" si="2"/>
        <v>196346.86507834963</v>
      </c>
    </row>
    <row r="74" spans="1:20" x14ac:dyDescent="0.2">
      <c r="A74">
        <v>19</v>
      </c>
      <c r="B74">
        <v>20.856716981132081</v>
      </c>
      <c r="C74">
        <f t="shared" si="2"/>
        <v>189227.29961799434</v>
      </c>
    </row>
    <row r="75" spans="1:20" x14ac:dyDescent="0.2">
      <c r="A75">
        <v>20</v>
      </c>
      <c r="B75">
        <v>18.223396226415097</v>
      </c>
      <c r="C75">
        <f t="shared" si="2"/>
        <v>110285.20939186036</v>
      </c>
      <c r="E75" t="s">
        <v>63</v>
      </c>
    </row>
    <row r="76" spans="1:20" x14ac:dyDescent="0.2">
      <c r="A76">
        <v>21</v>
      </c>
      <c r="B76">
        <v>16.800452830188682</v>
      </c>
      <c r="C76">
        <f t="shared" si="2"/>
        <v>79668.00656370775</v>
      </c>
      <c r="E76" t="s">
        <v>64</v>
      </c>
    </row>
    <row r="77" spans="1:20" x14ac:dyDescent="0.2">
      <c r="A77">
        <v>22</v>
      </c>
      <c r="B77">
        <v>19.075245283018866</v>
      </c>
      <c r="C77">
        <f t="shared" si="2"/>
        <v>132397.72556783512</v>
      </c>
      <c r="E77" t="s">
        <v>65</v>
      </c>
      <c r="M77" t="s">
        <v>75</v>
      </c>
    </row>
    <row r="78" spans="1:20" x14ac:dyDescent="0.2">
      <c r="A78">
        <v>23</v>
      </c>
      <c r="B78">
        <v>22.51584905660377</v>
      </c>
      <c r="C78">
        <f t="shared" si="2"/>
        <v>257011.94849738528</v>
      </c>
      <c r="D78" t="s">
        <v>71</v>
      </c>
      <c r="E78" t="s">
        <v>45</v>
      </c>
      <c r="F78" t="s">
        <v>47</v>
      </c>
      <c r="G78" t="s">
        <v>85</v>
      </c>
      <c r="H78" t="s">
        <v>73</v>
      </c>
      <c r="I78" t="s">
        <v>72</v>
      </c>
      <c r="J78" t="s">
        <v>74</v>
      </c>
      <c r="K78" t="s">
        <v>88</v>
      </c>
      <c r="M78" t="s">
        <v>90</v>
      </c>
      <c r="P78" t="s">
        <v>91</v>
      </c>
    </row>
    <row r="79" spans="1:20" x14ac:dyDescent="0.2">
      <c r="A79">
        <v>24</v>
      </c>
      <c r="B79">
        <v>24.693641509433963</v>
      </c>
      <c r="C79">
        <f t="shared" si="2"/>
        <v>371826.68602257519</v>
      </c>
      <c r="D79" s="9" t="s">
        <v>66</v>
      </c>
      <c r="E79">
        <f>(SUM(C56:C58)/COUNT(C56:C58))^0.25</f>
        <v>5.3021352840786244</v>
      </c>
      <c r="F79">
        <f>(E79*0.000001)/2</f>
        <v>2.6510676420393121E-6</v>
      </c>
      <c r="G79" s="3">
        <v>1945044766.9033651</v>
      </c>
      <c r="H79">
        <f>(G79*((PI()*F79^4)/(8*0.000000001)))*998</f>
        <v>3.7653319033844029E-2</v>
      </c>
      <c r="I79" s="6">
        <v>1.6681856990561855E-3</v>
      </c>
      <c r="J79">
        <f>(H79*I79)/3</f>
        <v>2.0937576111419559E-5</v>
      </c>
      <c r="K79">
        <f>1/J79</f>
        <v>47761.020410313409</v>
      </c>
      <c r="L79" s="11"/>
      <c r="M79">
        <f>J79</f>
        <v>2.0937576111419559E-5</v>
      </c>
      <c r="P79">
        <f>J79</f>
        <v>2.0937576111419559E-5</v>
      </c>
    </row>
    <row r="80" spans="1:20" x14ac:dyDescent="0.2">
      <c r="A80">
        <v>25</v>
      </c>
      <c r="B80">
        <v>23.180000000000003</v>
      </c>
      <c r="C80">
        <f t="shared" si="2"/>
        <v>288704.61519376014</v>
      </c>
      <c r="D80" t="s">
        <v>67</v>
      </c>
      <c r="E80">
        <f>(SUM(C59:C63)/COUNT(C59:C63))^0.25</f>
        <v>9.2956591477121275</v>
      </c>
      <c r="F80">
        <f t="shared" ref="F80:F83" si="5">(E80*0.000001)/2</f>
        <v>4.6478295738560634E-6</v>
      </c>
      <c r="G80" s="3">
        <f>G79-(($G$79-$G$83)/4)</f>
        <v>1783584077.5050082</v>
      </c>
      <c r="H80">
        <f t="shared" ref="H80:H83" si="6">(G80*((PI()*F80^4)/(8*0.000000001)))*998</f>
        <v>0.32620062864314764</v>
      </c>
      <c r="I80" s="6">
        <v>1.6681856990561855E-3</v>
      </c>
      <c r="J80">
        <f t="shared" ref="J80:J83" si="7">(H80*I80)/3</f>
        <v>1.8138774124187881E-4</v>
      </c>
      <c r="K80">
        <f t="shared" ref="K80:K83" si="8">1/J80</f>
        <v>5513.0517263926322</v>
      </c>
      <c r="L80" s="11"/>
      <c r="M80">
        <f>J80</f>
        <v>1.8138774124187881E-4</v>
      </c>
      <c r="P80">
        <v>9.9999999999999995E-8</v>
      </c>
    </row>
    <row r="81" spans="4:20" x14ac:dyDescent="0.2">
      <c r="D81" t="s">
        <v>68</v>
      </c>
      <c r="E81">
        <f>(SUM(C64:C68)/COUNT(C64:C68))^0.25</f>
        <v>13.121575270713432</v>
      </c>
      <c r="F81">
        <f t="shared" si="5"/>
        <v>6.5607876353567161E-6</v>
      </c>
      <c r="G81" s="3">
        <f t="shared" ref="G81:G82" si="9">G80-(($G$79-$G$83)/4)</f>
        <v>1622123388.1066513</v>
      </c>
      <c r="H81">
        <f t="shared" si="6"/>
        <v>1.1778723707623051</v>
      </c>
      <c r="I81" s="6">
        <v>1.6681856990561855E-3</v>
      </c>
      <c r="J81">
        <f t="shared" si="7"/>
        <v>6.5496994807302757E-4</v>
      </c>
      <c r="K81">
        <f t="shared" si="8"/>
        <v>1526.7876074956991</v>
      </c>
      <c r="L81" s="11"/>
      <c r="M81">
        <f>J81</f>
        <v>6.5496994807302757E-4</v>
      </c>
      <c r="P81">
        <v>9.9999999999999995E-8</v>
      </c>
    </row>
    <row r="82" spans="4:20" x14ac:dyDescent="0.2">
      <c r="D82" t="s">
        <v>69</v>
      </c>
      <c r="E82">
        <f>(SUM(C69:C71,C76,C75)/COUNT(C69:C71,C76,C75))^0.25</f>
        <v>17.669702204962192</v>
      </c>
      <c r="F82">
        <f t="shared" si="5"/>
        <v>8.834851102481095E-6</v>
      </c>
      <c r="G82" s="3">
        <f t="shared" si="9"/>
        <v>1460662698.7082944</v>
      </c>
      <c r="H82">
        <f t="shared" si="6"/>
        <v>3.4876854048845218</v>
      </c>
      <c r="I82" s="6">
        <v>1.6681856990561855E-3</v>
      </c>
      <c r="J82">
        <f t="shared" si="7"/>
        <v>1.9393689717451138E-3</v>
      </c>
      <c r="K82">
        <f t="shared" si="8"/>
        <v>515.6316382127967</v>
      </c>
      <c r="L82" s="11"/>
      <c r="M82">
        <v>9.9999999999999995E-8</v>
      </c>
      <c r="P82">
        <v>9.9999999999999995E-8</v>
      </c>
    </row>
    <row r="83" spans="4:20" x14ac:dyDescent="0.2">
      <c r="D83" t="s">
        <v>70</v>
      </c>
      <c r="E83">
        <f>(SUM(C72:C74,C77:C80)/COUNT(C72:C74,C77:C80))^0.25</f>
        <v>21.837081829937453</v>
      </c>
      <c r="F83">
        <f t="shared" si="5"/>
        <v>1.0918540914968727E-5</v>
      </c>
      <c r="G83" s="3">
        <v>1299202009.309938</v>
      </c>
      <c r="H83">
        <f t="shared" si="6"/>
        <v>7.2364494720107828</v>
      </c>
      <c r="I83" s="6">
        <v>1.6681856990561855E-3</v>
      </c>
      <c r="J83">
        <f t="shared" si="7"/>
        <v>4.0239138403836911E-3</v>
      </c>
      <c r="K83">
        <f t="shared" si="8"/>
        <v>248.51426736926535</v>
      </c>
      <c r="L83" s="11"/>
      <c r="M83">
        <v>9.9999999999999995E-8</v>
      </c>
      <c r="P83">
        <v>9.9999999999999995E-8</v>
      </c>
    </row>
    <row r="84" spans="4:20" x14ac:dyDescent="0.2">
      <c r="G84" s="3"/>
      <c r="I84" s="6"/>
    </row>
    <row r="85" spans="4:20" x14ac:dyDescent="0.2">
      <c r="E85" t="s">
        <v>77</v>
      </c>
      <c r="F85" t="s">
        <v>76</v>
      </c>
    </row>
    <row r="86" spans="4:20" x14ac:dyDescent="0.2">
      <c r="E86">
        <f>COUNT(C56:C58)</f>
        <v>3</v>
      </c>
      <c r="F86" s="10">
        <f>E86/25</f>
        <v>0.12</v>
      </c>
      <c r="J86" t="s">
        <v>89</v>
      </c>
      <c r="K86" t="s">
        <v>51</v>
      </c>
      <c r="M86" t="s">
        <v>92</v>
      </c>
      <c r="N86" t="s">
        <v>93</v>
      </c>
      <c r="P86" t="s">
        <v>92</v>
      </c>
      <c r="Q86" t="s">
        <v>93</v>
      </c>
    </row>
    <row r="87" spans="4:20" x14ac:dyDescent="0.2">
      <c r="E87">
        <f>COUNT(C59:C63)</f>
        <v>5</v>
      </c>
      <c r="F87" s="10">
        <f t="shared" ref="F87:F90" si="10">E87/25</f>
        <v>0.2</v>
      </c>
      <c r="I87" s="9">
        <v>45804</v>
      </c>
      <c r="J87">
        <f>(J79*$F$86)+J80*$F$87+J81*$F$88+J82*$F$89+J83*$F$90</f>
        <v>1.6843537166528078E-3</v>
      </c>
      <c r="K87">
        <f>1/J87</f>
        <v>593.69952410425196</v>
      </c>
      <c r="M87">
        <f>(M79*$F$86)+M80*$F$87+M81*$F$88+M82*$F$89+M83*$F$90</f>
        <v>1.6983204699635163E-4</v>
      </c>
      <c r="N87">
        <f>1/M87</f>
        <v>5888.1702110172537</v>
      </c>
      <c r="P87">
        <f>(P79*$F$86)+P80*$F$87+P81*$F$88+P82*$F$89+P83*$F$90</f>
        <v>2.6005091333703464E-6</v>
      </c>
      <c r="Q87" s="11">
        <f>1/P87</f>
        <v>384540.08377350582</v>
      </c>
    </row>
    <row r="88" spans="4:20" x14ac:dyDescent="0.2">
      <c r="E88">
        <f>COUNT(C64:C68)</f>
        <v>5</v>
      </c>
      <c r="F88" s="10">
        <f t="shared" si="10"/>
        <v>0.2</v>
      </c>
      <c r="I88" t="s">
        <v>100</v>
      </c>
      <c r="J88">
        <f>(J87*1.2)*((1000000*3600)/998)</f>
        <v>7290.9900360121537</v>
      </c>
      <c r="M88">
        <f>M87/J87</f>
        <v>0.10082920547938491</v>
      </c>
      <c r="P88">
        <f>P87/J87</f>
        <v>1.5439210349107353E-3</v>
      </c>
    </row>
    <row r="89" spans="4:20" x14ac:dyDescent="0.2">
      <c r="E89">
        <f>COUNT(C69:C71,C76,C75)</f>
        <v>5</v>
      </c>
      <c r="F89" s="10">
        <f t="shared" si="10"/>
        <v>0.2</v>
      </c>
      <c r="I89" t="s">
        <v>98</v>
      </c>
    </row>
    <row r="90" spans="4:20" x14ac:dyDescent="0.2">
      <c r="E90">
        <f>COUNT(C72:C74,C77:C80)</f>
        <v>7</v>
      </c>
      <c r="F90" s="10">
        <f t="shared" si="10"/>
        <v>0.28000000000000003</v>
      </c>
      <c r="I90" t="s">
        <v>99</v>
      </c>
      <c r="J90">
        <f>J88/341.3078</f>
        <v>21.361920342905009</v>
      </c>
      <c r="M90" t="s">
        <v>101</v>
      </c>
      <c r="N90" t="s">
        <v>102</v>
      </c>
      <c r="P90" t="s">
        <v>103</v>
      </c>
      <c r="S90" t="s">
        <v>104</v>
      </c>
    </row>
    <row r="91" spans="4:20" x14ac:dyDescent="0.2">
      <c r="M91">
        <f>J87*0.5</f>
        <v>8.4217685832640391E-4</v>
      </c>
      <c r="N91">
        <f>1/M91</f>
        <v>1187.3990482085039</v>
      </c>
      <c r="P91">
        <f>J87*0.12</f>
        <v>2.0212244599833692E-4</v>
      </c>
      <c r="Q91">
        <f>1/P91</f>
        <v>4947.4960342020995</v>
      </c>
      <c r="S91">
        <f>J87*0.02</f>
        <v>3.3687074333056161E-5</v>
      </c>
      <c r="T91">
        <f>1/S91</f>
        <v>29684.976205212592</v>
      </c>
    </row>
    <row r="92" spans="4:20" x14ac:dyDescent="0.2">
      <c r="I92" t="s">
        <v>81</v>
      </c>
    </row>
    <row r="93" spans="4:20" x14ac:dyDescent="0.2">
      <c r="E93" t="s">
        <v>46</v>
      </c>
      <c r="F93" t="s">
        <v>47</v>
      </c>
      <c r="G93" t="s">
        <v>78</v>
      </c>
      <c r="H93" t="s">
        <v>79</v>
      </c>
      <c r="I93" t="s">
        <v>80</v>
      </c>
      <c r="J93" t="s">
        <v>82</v>
      </c>
      <c r="K93" t="s">
        <v>84</v>
      </c>
      <c r="L93" t="s">
        <v>86</v>
      </c>
    </row>
    <row r="94" spans="4:20" x14ac:dyDescent="0.2">
      <c r="E94">
        <f>E79*0.000001</f>
        <v>5.3021352840786243E-6</v>
      </c>
      <c r="F94">
        <f>E94/2</f>
        <v>2.6510676420393121E-6</v>
      </c>
      <c r="G94">
        <v>6.0000000000000001E-3</v>
      </c>
      <c r="H94">
        <f>(0.089+0.075)/2</f>
        <v>8.199999999999999E-2</v>
      </c>
      <c r="I94">
        <v>6</v>
      </c>
      <c r="J94">
        <f>PI()*F94^2</f>
        <v>2.2079614701661674E-11</v>
      </c>
      <c r="K94">
        <f>(I94)/(E94*(G94^2)*H94*998)</f>
        <v>384108175.87835568</v>
      </c>
      <c r="L94" s="11">
        <f>K94/G79</f>
        <v>0.1974803780428562</v>
      </c>
    </row>
    <row r="95" spans="4:20" x14ac:dyDescent="0.2">
      <c r="E95">
        <f t="shared" ref="E95:E98" si="11">E80*0.000001</f>
        <v>9.2956591477121268E-6</v>
      </c>
      <c r="F95">
        <f t="shared" ref="F95:F98" si="12">E95/2</f>
        <v>4.6478295738560634E-6</v>
      </c>
      <c r="G95">
        <v>6.0000000000000001E-3</v>
      </c>
      <c r="H95">
        <f t="shared" ref="H95:H98" si="13">(0.089+0.075)/2</f>
        <v>8.199999999999999E-2</v>
      </c>
      <c r="I95">
        <v>5.85</v>
      </c>
      <c r="J95">
        <f t="shared" ref="J95:J98" si="14">PI()*F95^2</f>
        <v>6.7865689019592542E-11</v>
      </c>
      <c r="K95">
        <f t="shared" ref="K95:K98" si="15">(I95)/(E95*(G95^2)*H95*998)</f>
        <v>213613541.85525784</v>
      </c>
      <c r="L95" s="11">
        <f t="shared" ref="L95:L98" si="16">K95/G80</f>
        <v>0.11976645483069918</v>
      </c>
    </row>
    <row r="96" spans="4:20" x14ac:dyDescent="0.2">
      <c r="E96">
        <f t="shared" si="11"/>
        <v>1.3121575270713432E-5</v>
      </c>
      <c r="F96">
        <f t="shared" si="12"/>
        <v>6.5607876353567161E-6</v>
      </c>
      <c r="G96">
        <v>6.0000000000000001E-3</v>
      </c>
      <c r="H96">
        <f t="shared" si="13"/>
        <v>8.199999999999999E-2</v>
      </c>
      <c r="I96">
        <v>5.7</v>
      </c>
      <c r="J96">
        <f t="shared" si="14"/>
        <v>1.3522650808085867E-10</v>
      </c>
      <c r="K96">
        <f t="shared" si="15"/>
        <v>147449052.16789016</v>
      </c>
      <c r="L96" s="11">
        <f t="shared" si="16"/>
        <v>9.0898789357814064E-2</v>
      </c>
    </row>
    <row r="97" spans="1:14" x14ac:dyDescent="0.2">
      <c r="E97">
        <f t="shared" si="11"/>
        <v>1.766970220496219E-5</v>
      </c>
      <c r="F97">
        <f t="shared" si="12"/>
        <v>8.834851102481095E-6</v>
      </c>
      <c r="G97">
        <v>6.0000000000000001E-3</v>
      </c>
      <c r="H97">
        <f t="shared" si="13"/>
        <v>8.199999999999999E-2</v>
      </c>
      <c r="I97">
        <v>5.55</v>
      </c>
      <c r="J97">
        <f t="shared" si="14"/>
        <v>2.4521573909879458E-10</v>
      </c>
      <c r="K97">
        <f t="shared" si="15"/>
        <v>106614643.35723707</v>
      </c>
      <c r="L97" s="11">
        <f t="shared" si="16"/>
        <v>7.2990597659212786E-2</v>
      </c>
    </row>
    <row r="98" spans="1:14" x14ac:dyDescent="0.2">
      <c r="E98">
        <f t="shared" si="11"/>
        <v>2.1837081829937453E-5</v>
      </c>
      <c r="F98">
        <f t="shared" si="12"/>
        <v>1.0918540914968727E-5</v>
      </c>
      <c r="G98">
        <v>6.0000000000000001E-3</v>
      </c>
      <c r="H98">
        <f t="shared" si="13"/>
        <v>8.199999999999999E-2</v>
      </c>
      <c r="I98">
        <v>5.4</v>
      </c>
      <c r="J98">
        <f t="shared" si="14"/>
        <v>3.7452350959345385E-10</v>
      </c>
      <c r="K98">
        <f t="shared" si="15"/>
        <v>83936772.10533157</v>
      </c>
      <c r="L98" s="11">
        <f t="shared" si="16"/>
        <v>6.4606405704309214E-2</v>
      </c>
    </row>
    <row r="100" spans="1:14" x14ac:dyDescent="0.2">
      <c r="K100" t="s">
        <v>83</v>
      </c>
    </row>
    <row r="103" spans="1:14" x14ac:dyDescent="0.2">
      <c r="B103" t="s">
        <v>14</v>
      </c>
      <c r="C103" t="s">
        <v>60</v>
      </c>
      <c r="D103" t="s">
        <v>71</v>
      </c>
      <c r="E103" t="s">
        <v>45</v>
      </c>
      <c r="F103" t="s">
        <v>47</v>
      </c>
      <c r="G103" t="s">
        <v>85</v>
      </c>
      <c r="H103" t="s">
        <v>73</v>
      </c>
      <c r="I103" t="s">
        <v>72</v>
      </c>
      <c r="J103" t="s">
        <v>74</v>
      </c>
      <c r="K103" t="s">
        <v>88</v>
      </c>
      <c r="M103" t="s">
        <v>53</v>
      </c>
      <c r="N103" t="s">
        <v>54</v>
      </c>
    </row>
    <row r="104" spans="1:14" x14ac:dyDescent="0.2">
      <c r="A104">
        <v>1</v>
      </c>
      <c r="B104">
        <v>1.5369629629629629</v>
      </c>
      <c r="C104">
        <f>B104^4</f>
        <v>5.5802493914332381</v>
      </c>
      <c r="D104" s="9" t="s">
        <v>66</v>
      </c>
      <c r="E104">
        <f>(SUM(C104:C107)/COUNT(C104:C107))^0.25</f>
        <v>3.6632847076992379</v>
      </c>
      <c r="F104">
        <f>(E104*0.000001)/2</f>
        <v>1.8316423538496189E-6</v>
      </c>
      <c r="G104" s="3">
        <v>1907785001.1622787</v>
      </c>
      <c r="H104">
        <f>(G104*((PI()*F104^4)/(8*0.000000001)))*998</f>
        <v>8.4155511979227705E-3</v>
      </c>
      <c r="I104">
        <v>5.0153563219152587E-3</v>
      </c>
      <c r="J104">
        <f>(H104*I104)/0.85</f>
        <v>4.9655279885768816E-5</v>
      </c>
      <c r="K104">
        <f>1/J104</f>
        <v>20138.845301053265</v>
      </c>
      <c r="M104">
        <f>J104</f>
        <v>4.9655279885768816E-5</v>
      </c>
    </row>
    <row r="105" spans="1:14" x14ac:dyDescent="0.2">
      <c r="A105">
        <v>2</v>
      </c>
      <c r="B105">
        <v>2.0542283950617275</v>
      </c>
      <c r="C105">
        <f t="shared" ref="C105:C128" si="17">B105^4</f>
        <v>17.807170305446071</v>
      </c>
      <c r="D105" t="s">
        <v>67</v>
      </c>
      <c r="E105">
        <f>(SUM(C108:C111)/COUNT(C108:C111))^0.25</f>
        <v>8.8335330647701831</v>
      </c>
      <c r="F105">
        <f t="shared" ref="F105:F108" si="18">(E105*0.000001)/2</f>
        <v>4.4167665323850916E-6</v>
      </c>
      <c r="G105" s="3">
        <f>G104-(($G$104-$G$108)/4)</f>
        <v>1704052234.7983418</v>
      </c>
      <c r="H105">
        <f t="shared" ref="H105:H108" si="19">(G105*((PI()*F105^4)/(8*0.000000001)))*998</f>
        <v>0.25415057901176252</v>
      </c>
      <c r="I105">
        <v>5.0153563219152587E-3</v>
      </c>
      <c r="J105">
        <f t="shared" ref="J105:J108" si="20">(H105*I105)/0.85</f>
        <v>1.4995949566647844E-3</v>
      </c>
      <c r="K105">
        <f t="shared" ref="K105:K108" si="21">1/J105</f>
        <v>666.84673455029326</v>
      </c>
      <c r="M105">
        <f>J105</f>
        <v>1.4995949566647844E-3</v>
      </c>
    </row>
    <row r="106" spans="1:14" x14ac:dyDescent="0.2">
      <c r="A106">
        <v>3</v>
      </c>
      <c r="B106">
        <v>3.3073333333333346</v>
      </c>
      <c r="C106">
        <f t="shared" si="17"/>
        <v>119.64977104858112</v>
      </c>
      <c r="D106" t="s">
        <v>68</v>
      </c>
      <c r="E106">
        <f>(SUM(C112:C113)/COUNT(C112:C113))^0.25</f>
        <v>14.574388917877897</v>
      </c>
      <c r="F106">
        <f t="shared" si="18"/>
        <v>7.2871944589389482E-6</v>
      </c>
      <c r="G106" s="3">
        <f t="shared" ref="G106:G107" si="22">G105-(($G$104-$G$108)/4)</f>
        <v>1500319468.4344049</v>
      </c>
      <c r="H106">
        <f t="shared" si="19"/>
        <v>1.6581186614251959</v>
      </c>
      <c r="I106">
        <v>5.0153563219152587E-3</v>
      </c>
      <c r="J106">
        <f t="shared" si="20"/>
        <v>9.7835951894876746E-3</v>
      </c>
      <c r="K106">
        <f t="shared" si="21"/>
        <v>102.21191500998374</v>
      </c>
      <c r="M106">
        <f>J106*0.0001</f>
        <v>9.7835951894876746E-7</v>
      </c>
    </row>
    <row r="107" spans="1:14" x14ac:dyDescent="0.2">
      <c r="A107">
        <v>4</v>
      </c>
      <c r="B107">
        <v>4.9017654320987658</v>
      </c>
      <c r="C107">
        <f t="shared" si="17"/>
        <v>577.31135439088405</v>
      </c>
      <c r="D107" t="s">
        <v>69</v>
      </c>
      <c r="E107">
        <f>(SUM(C113,C115)/COUNT(C113,C115))^0.25</f>
        <v>16.801582245914798</v>
      </c>
      <c r="F107">
        <f t="shared" si="18"/>
        <v>8.4007911229573978E-6</v>
      </c>
      <c r="G107" s="3">
        <f t="shared" si="22"/>
        <v>1296586702.0704679</v>
      </c>
      <c r="H107">
        <f t="shared" si="19"/>
        <v>2.5308868909624302</v>
      </c>
      <c r="I107">
        <v>5.0153563219152587E-3</v>
      </c>
      <c r="J107">
        <f t="shared" si="20"/>
        <v>1.4933293610165741E-2</v>
      </c>
      <c r="K107">
        <f t="shared" si="21"/>
        <v>66.964463842005799</v>
      </c>
      <c r="M107">
        <f>J107*0.00001</f>
        <v>1.4933293610165741E-7</v>
      </c>
    </row>
    <row r="108" spans="1:14" x14ac:dyDescent="0.2">
      <c r="A108">
        <v>5</v>
      </c>
      <c r="B108">
        <v>7.0403580246913586</v>
      </c>
      <c r="C108">
        <f t="shared" si="17"/>
        <v>2456.8519115060844</v>
      </c>
      <c r="D108" t="s">
        <v>70</v>
      </c>
      <c r="E108">
        <f>(SUM(C116:C128,C114)/COUNT(C116:C128,C114))^0.25</f>
        <v>23.92987811756149</v>
      </c>
      <c r="F108">
        <f t="shared" si="18"/>
        <v>1.1964939058780744E-5</v>
      </c>
      <c r="G108" s="3">
        <v>1092853935.7065306</v>
      </c>
      <c r="H108">
        <f t="shared" si="19"/>
        <v>8.7779784729461667</v>
      </c>
      <c r="I108">
        <v>5.0153563219152587E-3</v>
      </c>
      <c r="J108">
        <f t="shared" si="20"/>
        <v>5.1793752738737188E-2</v>
      </c>
      <c r="K108">
        <f t="shared" si="21"/>
        <v>19.307347838730511</v>
      </c>
      <c r="M108">
        <f>J108*0.00001</f>
        <v>5.179375273873719E-7</v>
      </c>
    </row>
    <row r="109" spans="1:14" x14ac:dyDescent="0.2">
      <c r="A109">
        <v>6</v>
      </c>
      <c r="B109">
        <v>8.3105555555555597</v>
      </c>
      <c r="C109">
        <f t="shared" si="17"/>
        <v>4770.0203110773746</v>
      </c>
    </row>
    <row r="110" spans="1:14" x14ac:dyDescent="0.2">
      <c r="A110">
        <v>7</v>
      </c>
      <c r="B110">
        <v>9.1159135802469198</v>
      </c>
      <c r="C110">
        <f t="shared" si="17"/>
        <v>6905.5901229148258</v>
      </c>
      <c r="E110" t="s">
        <v>77</v>
      </c>
      <c r="F110" t="s">
        <v>76</v>
      </c>
      <c r="M110">
        <f>(M104*$F$111)+M105*$F$112+M106*$F$113+M107*$F$114+M108*$F$115</f>
        <v>2.4826029825982942E-4</v>
      </c>
      <c r="N110">
        <f>1/M110</f>
        <v>4028.0302851863944</v>
      </c>
    </row>
    <row r="111" spans="1:14" x14ac:dyDescent="0.2">
      <c r="A111">
        <v>8</v>
      </c>
      <c r="B111">
        <v>10.055308641975307</v>
      </c>
      <c r="C111">
        <f t="shared" si="17"/>
        <v>10223.07677245221</v>
      </c>
      <c r="E111">
        <f>COUNT(C104:C107)</f>
        <v>4</v>
      </c>
      <c r="F111" s="10">
        <f>E111/25</f>
        <v>0.16</v>
      </c>
      <c r="J111" t="s">
        <v>89</v>
      </c>
      <c r="K111" t="s">
        <v>51</v>
      </c>
    </row>
    <row r="112" spans="1:14" x14ac:dyDescent="0.2">
      <c r="A112">
        <v>9</v>
      </c>
      <c r="B112">
        <v>12.484222222222229</v>
      </c>
      <c r="C112">
        <f t="shared" si="17"/>
        <v>24291.031794418126</v>
      </c>
      <c r="E112">
        <f>COUNT(C108:C111)</f>
        <v>4</v>
      </c>
      <c r="F112" s="10">
        <f t="shared" ref="F112:F115" si="23">E112/25</f>
        <v>0.16</v>
      </c>
      <c r="J112">
        <f>(J104*$F$111)+J105*$F$112+J106*$F$113+J107*$F$114+J108*$F$115</f>
        <v>3.122973267551319E-2</v>
      </c>
      <c r="K112">
        <f>1/J112</f>
        <v>32.020767208938885</v>
      </c>
    </row>
    <row r="113" spans="1:15" x14ac:dyDescent="0.2">
      <c r="A113">
        <v>10</v>
      </c>
      <c r="B113">
        <v>16.025049382716048</v>
      </c>
      <c r="C113">
        <f t="shared" si="17"/>
        <v>65947.373889089446</v>
      </c>
      <c r="E113">
        <f>COUNT(C112:C113)</f>
        <v>2</v>
      </c>
      <c r="F113" s="10">
        <f t="shared" si="23"/>
        <v>0.08</v>
      </c>
      <c r="M113" t="s">
        <v>94</v>
      </c>
      <c r="N113" t="s">
        <v>95</v>
      </c>
      <c r="O113" t="s">
        <v>96</v>
      </c>
    </row>
    <row r="114" spans="1:15" x14ac:dyDescent="0.2">
      <c r="A114">
        <v>11</v>
      </c>
      <c r="B114">
        <v>19.823185185185181</v>
      </c>
      <c r="C114">
        <f t="shared" si="17"/>
        <v>154416.51702460586</v>
      </c>
      <c r="E114">
        <f>COUNT(C113,C115)</f>
        <v>2</v>
      </c>
      <c r="F114" s="10">
        <f t="shared" si="23"/>
        <v>0.08</v>
      </c>
      <c r="M114">
        <f>J112*0.5</f>
        <v>1.5614866337756595E-2</v>
      </c>
      <c r="N114">
        <f>J112*0.12</f>
        <v>3.7475679210615827E-3</v>
      </c>
      <c r="O114">
        <f>J112*0.05</f>
        <v>1.5614866337756595E-3</v>
      </c>
    </row>
    <row r="115" spans="1:15" x14ac:dyDescent="0.2">
      <c r="A115">
        <v>12</v>
      </c>
      <c r="B115">
        <v>17.483296296296299</v>
      </c>
      <c r="C115">
        <f t="shared" si="17"/>
        <v>93431.48921339614</v>
      </c>
      <c r="E115">
        <f>COUNT(C116:C128,C114)</f>
        <v>14</v>
      </c>
      <c r="F115" s="10">
        <f t="shared" si="23"/>
        <v>0.56000000000000005</v>
      </c>
      <c r="M115" t="s">
        <v>56</v>
      </c>
      <c r="N115" t="s">
        <v>97</v>
      </c>
      <c r="O115" t="s">
        <v>58</v>
      </c>
    </row>
    <row r="116" spans="1:15" x14ac:dyDescent="0.2">
      <c r="A116">
        <v>13</v>
      </c>
      <c r="B116">
        <v>21.404839506172838</v>
      </c>
      <c r="C116">
        <f t="shared" si="17"/>
        <v>209917.14126563095</v>
      </c>
      <c r="M116">
        <f>1/M114</f>
        <v>64.04153441787777</v>
      </c>
      <c r="N116">
        <f t="shared" ref="N116:O116" si="24">1/N114</f>
        <v>266.83972674115739</v>
      </c>
      <c r="O116">
        <f t="shared" si="24"/>
        <v>640.41534417877767</v>
      </c>
    </row>
    <row r="117" spans="1:15" x14ac:dyDescent="0.2">
      <c r="A117">
        <v>14</v>
      </c>
      <c r="B117">
        <v>19.389333333333326</v>
      </c>
      <c r="C117">
        <f t="shared" si="17"/>
        <v>141335.58071692841</v>
      </c>
    </row>
    <row r="118" spans="1:15" x14ac:dyDescent="0.2">
      <c r="A118">
        <v>15</v>
      </c>
      <c r="B118">
        <v>23.176629629629641</v>
      </c>
      <c r="C118">
        <f t="shared" si="17"/>
        <v>288536.74128846906</v>
      </c>
    </row>
    <row r="119" spans="1:15" x14ac:dyDescent="0.2">
      <c r="A119">
        <v>16</v>
      </c>
      <c r="B119">
        <v>22.519950617283957</v>
      </c>
      <c r="C119">
        <f t="shared" si="17"/>
        <v>257199.27222224596</v>
      </c>
      <c r="H119" t="s">
        <v>108</v>
      </c>
    </row>
    <row r="120" spans="1:15" x14ac:dyDescent="0.2">
      <c r="A120">
        <v>17</v>
      </c>
      <c r="B120">
        <v>21.410555555555561</v>
      </c>
      <c r="C120">
        <f t="shared" si="17"/>
        <v>210141.4601576495</v>
      </c>
    </row>
    <row r="121" spans="1:15" x14ac:dyDescent="0.2">
      <c r="A121">
        <v>18</v>
      </c>
      <c r="B121">
        <v>22.667296296296289</v>
      </c>
      <c r="C121">
        <f t="shared" si="17"/>
        <v>263996.93589424819</v>
      </c>
      <c r="E121" t="s">
        <v>45</v>
      </c>
      <c r="F121" t="s">
        <v>47</v>
      </c>
      <c r="G121" t="s">
        <v>85</v>
      </c>
      <c r="H121" t="s">
        <v>73</v>
      </c>
      <c r="I121" t="s">
        <v>72</v>
      </c>
      <c r="J121" t="s">
        <v>74</v>
      </c>
      <c r="K121" t="s">
        <v>88</v>
      </c>
      <c r="M121" t="s">
        <v>109</v>
      </c>
      <c r="O121" t="s">
        <v>110</v>
      </c>
    </row>
    <row r="122" spans="1:15" x14ac:dyDescent="0.2">
      <c r="A122">
        <v>19</v>
      </c>
      <c r="B122">
        <v>24.43376543209876</v>
      </c>
      <c r="C122">
        <f t="shared" si="17"/>
        <v>356419.61854893307</v>
      </c>
      <c r="D122">
        <v>90</v>
      </c>
      <c r="E122">
        <f>(SUM(C107:C128)/COUNT(C107:C128))^0.25</f>
        <v>21.611828547547081</v>
      </c>
      <c r="F122">
        <f>E122*0.000001/2</f>
        <v>1.080591427377354E-5</v>
      </c>
      <c r="G122" s="3">
        <v>1092853935.7065306</v>
      </c>
      <c r="H122">
        <f>(G122*((PI()*F122^4)/(8*0.000000001)))*998</f>
        <v>5.8398086762342185</v>
      </c>
      <c r="I122">
        <v>5.0153563219152587E-3</v>
      </c>
      <c r="J122">
        <f>(H122*I122)/0.85</f>
        <v>3.4457319250737486E-2</v>
      </c>
      <c r="K122">
        <f>1/J122</f>
        <v>29.021410305405492</v>
      </c>
      <c r="M122">
        <f>(J122*0.9)+(J123*0.1)</f>
        <v>3.1012901976613105E-2</v>
      </c>
      <c r="O122">
        <f>(J122*0.9*0)+(J123*0.1)</f>
        <v>1.3146509493670365E-6</v>
      </c>
    </row>
    <row r="123" spans="1:15" x14ac:dyDescent="0.2">
      <c r="A123">
        <v>20</v>
      </c>
      <c r="B123">
        <v>24.303555555555565</v>
      </c>
      <c r="C123">
        <f t="shared" si="17"/>
        <v>348882.55823812971</v>
      </c>
      <c r="D123">
        <v>10</v>
      </c>
      <c r="E123">
        <f>(SUM(C104:C106)/COUNT(C104:C106))^0.25</f>
        <v>2.6277372002845034</v>
      </c>
      <c r="F123">
        <f>E123*0.000001/2</f>
        <v>1.3138686001422516E-6</v>
      </c>
      <c r="G123" s="3">
        <v>1907785001.1622787</v>
      </c>
      <c r="H123">
        <f>(G123*((PI()*F123^4)/(8*0.000000001)))*998</f>
        <v>2.2280636414188991E-3</v>
      </c>
      <c r="I123">
        <v>5.0153563219152587E-3</v>
      </c>
      <c r="J123">
        <f>(H123*I123)/0.85</f>
        <v>1.3146509493670363E-5</v>
      </c>
      <c r="K123">
        <f>1/J123</f>
        <v>76065.818115559043</v>
      </c>
      <c r="L123" s="4"/>
      <c r="M123" t="s">
        <v>50</v>
      </c>
    </row>
    <row r="124" spans="1:15" x14ac:dyDescent="0.2">
      <c r="A124">
        <v>21</v>
      </c>
      <c r="B124">
        <v>22.085938271604935</v>
      </c>
      <c r="C124">
        <f t="shared" si="17"/>
        <v>237937.78593370121</v>
      </c>
      <c r="L124" s="4"/>
      <c r="M124">
        <f>1/M122</f>
        <v>32.244644527432555</v>
      </c>
      <c r="O124">
        <f>1/O122</f>
        <v>760658.18115559034</v>
      </c>
    </row>
    <row r="125" spans="1:15" x14ac:dyDescent="0.2">
      <c r="A125">
        <v>22</v>
      </c>
      <c r="B125">
        <v>23.517691358024692</v>
      </c>
      <c r="C125">
        <f t="shared" si="17"/>
        <v>305899.48502566246</v>
      </c>
      <c r="L125" s="4"/>
    </row>
    <row r="126" spans="1:15" x14ac:dyDescent="0.2">
      <c r="A126">
        <v>23</v>
      </c>
      <c r="B126">
        <v>25.598037037037038</v>
      </c>
      <c r="C126">
        <f t="shared" si="17"/>
        <v>429365.01253619866</v>
      </c>
      <c r="J126">
        <f>J123/J122</f>
        <v>3.8153024609971622E-4</v>
      </c>
      <c r="L126" s="4"/>
    </row>
    <row r="127" spans="1:15" x14ac:dyDescent="0.2">
      <c r="A127">
        <v>24</v>
      </c>
      <c r="B127">
        <v>29.265469135802462</v>
      </c>
      <c r="C127">
        <f t="shared" si="17"/>
        <v>733536.89328857372</v>
      </c>
      <c r="L127" s="4"/>
    </row>
    <row r="128" spans="1:15" x14ac:dyDescent="0.2">
      <c r="A128">
        <v>25</v>
      </c>
      <c r="B128">
        <v>28.429345679012354</v>
      </c>
      <c r="C128">
        <f t="shared" si="17"/>
        <v>653232.00815598248</v>
      </c>
      <c r="J128" s="4"/>
      <c r="K128" s="4"/>
      <c r="L128" s="4"/>
    </row>
    <row r="129" spans="1:17" x14ac:dyDescent="0.2">
      <c r="J129" s="4"/>
      <c r="K129" s="4"/>
      <c r="L129" s="4"/>
    </row>
    <row r="130" spans="1:17" x14ac:dyDescent="0.2">
      <c r="J130" s="4"/>
      <c r="K130" s="4"/>
      <c r="L130" s="4"/>
    </row>
    <row r="131" spans="1:17" x14ac:dyDescent="0.2">
      <c r="B131" t="s">
        <v>7</v>
      </c>
      <c r="C131" t="s">
        <v>60</v>
      </c>
      <c r="E131" t="s">
        <v>45</v>
      </c>
      <c r="F131" t="s">
        <v>47</v>
      </c>
      <c r="G131" t="s">
        <v>85</v>
      </c>
      <c r="H131" t="s">
        <v>73</v>
      </c>
      <c r="I131" t="s">
        <v>72</v>
      </c>
      <c r="J131" t="s">
        <v>74</v>
      </c>
      <c r="K131" t="s">
        <v>88</v>
      </c>
      <c r="L131" s="4"/>
      <c r="M131" t="s">
        <v>109</v>
      </c>
      <c r="O131" t="s">
        <v>110</v>
      </c>
    </row>
    <row r="132" spans="1:17" x14ac:dyDescent="0.2">
      <c r="A132">
        <v>1</v>
      </c>
      <c r="B132">
        <v>1.7873771929824556</v>
      </c>
      <c r="C132">
        <f>B132^4</f>
        <v>10.206218179619526</v>
      </c>
      <c r="D132">
        <v>80</v>
      </c>
      <c r="E132">
        <f>(SUM(C137:C156)/COUNT(C137:C156))^0.25</f>
        <v>27.031968931303584</v>
      </c>
      <c r="F132">
        <f>E132*0.000001/2</f>
        <v>1.3515984465651792E-5</v>
      </c>
      <c r="G132" s="12">
        <v>739926688.03710067</v>
      </c>
      <c r="H132">
        <f>(G132*((PI()*F132^4)/(8*0.000000001)))*998</f>
        <v>9.677648736765887</v>
      </c>
      <c r="I132" s="13">
        <v>2.9091148000000001E-2</v>
      </c>
      <c r="J132">
        <f>(H132*I132)/7</f>
        <v>4.0219130241895641E-2</v>
      </c>
      <c r="K132">
        <f>1/J132</f>
        <v>24.863789793204319</v>
      </c>
      <c r="L132" s="4"/>
      <c r="M132">
        <f>(J132*0.8)+(J133*0.2)</f>
        <v>3.2209219278380996E-2</v>
      </c>
      <c r="O132">
        <f>(J132*0.8*0)+(J133*0.2)</f>
        <v>3.3915084864482286E-5</v>
      </c>
    </row>
    <row r="133" spans="1:17" x14ac:dyDescent="0.2">
      <c r="A133">
        <v>2</v>
      </c>
      <c r="B133">
        <v>3.4293859649122762</v>
      </c>
      <c r="C133">
        <f t="shared" ref="C133:C156" si="25">B133^4</f>
        <v>138.31378449932996</v>
      </c>
      <c r="D133">
        <v>20</v>
      </c>
      <c r="E133">
        <f>(SUM(C132:C136)/COUNT(C132:C136))^0.25</f>
        <v>5.7247607282810264</v>
      </c>
      <c r="F133">
        <f>E133*0.000001/2</f>
        <v>2.8623803641405133E-6</v>
      </c>
      <c r="G133" s="12">
        <v>1550958901.7095528</v>
      </c>
      <c r="H133">
        <f>(G133*((PI()*F133^4)/(8*0.000000001)))*998</f>
        <v>4.0803751376772071E-2</v>
      </c>
      <c r="I133" s="13">
        <v>2.9091148000000001E-2</v>
      </c>
      <c r="J133">
        <f>(H133*I133)/7</f>
        <v>1.6957542432241142E-4</v>
      </c>
      <c r="K133">
        <f>1/J133</f>
        <v>5897.0809242895584</v>
      </c>
      <c r="M133" t="s">
        <v>50</v>
      </c>
    </row>
    <row r="134" spans="1:17" x14ac:dyDescent="0.2">
      <c r="A134">
        <v>3</v>
      </c>
      <c r="B134">
        <v>3.6599546783625714</v>
      </c>
      <c r="C134">
        <f t="shared" si="25"/>
        <v>179.43321142698449</v>
      </c>
      <c r="M134">
        <f>1/M132</f>
        <v>31.047011458337504</v>
      </c>
      <c r="O134">
        <f>1/O132</f>
        <v>29485.404621447789</v>
      </c>
    </row>
    <row r="135" spans="1:17" x14ac:dyDescent="0.2">
      <c r="A135">
        <v>4</v>
      </c>
      <c r="B135">
        <v>5.9794385964912298</v>
      </c>
      <c r="C135">
        <f t="shared" si="25"/>
        <v>1278.3260575245181</v>
      </c>
    </row>
    <row r="136" spans="1:17" x14ac:dyDescent="0.2">
      <c r="A136">
        <v>5</v>
      </c>
      <c r="B136">
        <v>7.8327324561403602</v>
      </c>
      <c r="C136">
        <f t="shared" si="25"/>
        <v>3764.0308142888189</v>
      </c>
    </row>
    <row r="137" spans="1:17" x14ac:dyDescent="0.2">
      <c r="A137">
        <v>6</v>
      </c>
      <c r="B137">
        <v>10.020789473684216</v>
      </c>
      <c r="C137">
        <f t="shared" si="25"/>
        <v>10083.417575663567</v>
      </c>
    </row>
    <row r="138" spans="1:17" x14ac:dyDescent="0.2">
      <c r="A138">
        <v>7</v>
      </c>
      <c r="B138">
        <v>9.236464912280713</v>
      </c>
      <c r="C138">
        <f t="shared" si="25"/>
        <v>7278.1858142287629</v>
      </c>
    </row>
    <row r="139" spans="1:17" x14ac:dyDescent="0.2">
      <c r="A139">
        <v>8</v>
      </c>
      <c r="B139">
        <v>10.496903508771934</v>
      </c>
      <c r="C139">
        <f t="shared" si="25"/>
        <v>12140.730538754173</v>
      </c>
    </row>
    <row r="140" spans="1:17" x14ac:dyDescent="0.2">
      <c r="A140">
        <v>9</v>
      </c>
      <c r="B140">
        <v>15.781355263157881</v>
      </c>
      <c r="C140">
        <f t="shared" si="25"/>
        <v>62026.487241888819</v>
      </c>
      <c r="Q140">
        <v>760658.18115559034</v>
      </c>
    </row>
    <row r="141" spans="1:17" x14ac:dyDescent="0.2">
      <c r="A141">
        <v>10</v>
      </c>
      <c r="B141">
        <v>17.992557017543856</v>
      </c>
      <c r="C141">
        <f t="shared" si="25"/>
        <v>104802.477769267</v>
      </c>
      <c r="Q141">
        <v>3580.3705611758023</v>
      </c>
    </row>
    <row r="142" spans="1:17" x14ac:dyDescent="0.2">
      <c r="A142">
        <v>11</v>
      </c>
      <c r="B142">
        <v>22.048368421052636</v>
      </c>
      <c r="C142">
        <f t="shared" si="25"/>
        <v>236322.91167292837</v>
      </c>
    </row>
    <row r="143" spans="1:17" x14ac:dyDescent="0.2">
      <c r="A143">
        <v>12</v>
      </c>
      <c r="B143">
        <v>26.262403508771936</v>
      </c>
      <c r="C143">
        <f t="shared" si="25"/>
        <v>475705.17840808525</v>
      </c>
    </row>
    <row r="144" spans="1:17" x14ac:dyDescent="0.2">
      <c r="A144">
        <v>13</v>
      </c>
      <c r="B144">
        <v>28.078429824561432</v>
      </c>
      <c r="C144">
        <f t="shared" si="25"/>
        <v>621571.75552689936</v>
      </c>
    </row>
    <row r="145" spans="1:3" x14ac:dyDescent="0.2">
      <c r="A145">
        <v>14</v>
      </c>
      <c r="B145">
        <v>28.618377192982479</v>
      </c>
      <c r="C145">
        <f t="shared" si="25"/>
        <v>670779.85868833761</v>
      </c>
    </row>
    <row r="146" spans="1:3" x14ac:dyDescent="0.2">
      <c r="A146">
        <v>15</v>
      </c>
      <c r="B146">
        <v>26.385359649122808</v>
      </c>
      <c r="C146">
        <f t="shared" si="25"/>
        <v>484676.62275374064</v>
      </c>
    </row>
    <row r="147" spans="1:3" x14ac:dyDescent="0.2">
      <c r="A147">
        <v>16</v>
      </c>
      <c r="B147">
        <v>26.995837719298219</v>
      </c>
      <c r="C147">
        <f t="shared" si="25"/>
        <v>531113.3710857156</v>
      </c>
    </row>
    <row r="148" spans="1:3" x14ac:dyDescent="0.2">
      <c r="A148">
        <v>17</v>
      </c>
      <c r="B148">
        <v>26.440285087719307</v>
      </c>
      <c r="C148">
        <f t="shared" si="25"/>
        <v>488724.97624012874</v>
      </c>
    </row>
    <row r="149" spans="1:3" x14ac:dyDescent="0.2">
      <c r="A149">
        <v>18</v>
      </c>
      <c r="B149">
        <v>22.944162280701779</v>
      </c>
      <c r="C149">
        <f t="shared" si="25"/>
        <v>277133.36992904154</v>
      </c>
    </row>
    <row r="150" spans="1:3" x14ac:dyDescent="0.2">
      <c r="A150">
        <v>19</v>
      </c>
      <c r="B150">
        <v>30.409100877192969</v>
      </c>
      <c r="C150">
        <f t="shared" si="25"/>
        <v>855094.90202499961</v>
      </c>
    </row>
    <row r="151" spans="1:3" x14ac:dyDescent="0.2">
      <c r="A151">
        <v>20</v>
      </c>
      <c r="B151">
        <v>30.912785087719293</v>
      </c>
      <c r="C151">
        <f t="shared" si="25"/>
        <v>913171.89872821851</v>
      </c>
    </row>
    <row r="152" spans="1:3" x14ac:dyDescent="0.2">
      <c r="A152">
        <v>21</v>
      </c>
      <c r="B152">
        <v>28.417381578947346</v>
      </c>
      <c r="C152">
        <f t="shared" si="25"/>
        <v>652133.0871861031</v>
      </c>
    </row>
    <row r="153" spans="1:3" x14ac:dyDescent="0.2">
      <c r="A153">
        <v>22</v>
      </c>
      <c r="B153">
        <v>29.319350877192999</v>
      </c>
      <c r="C153">
        <f t="shared" si="25"/>
        <v>738953.99880267377</v>
      </c>
    </row>
    <row r="154" spans="1:3" x14ac:dyDescent="0.2">
      <c r="A154">
        <v>23</v>
      </c>
      <c r="B154">
        <v>34.29647368421049</v>
      </c>
      <c r="C154">
        <f t="shared" si="25"/>
        <v>1383559.6096251076</v>
      </c>
    </row>
    <row r="155" spans="1:3" x14ac:dyDescent="0.2">
      <c r="A155">
        <v>24</v>
      </c>
      <c r="B155">
        <v>32.150021929824582</v>
      </c>
      <c r="C155">
        <f t="shared" si="25"/>
        <v>1068378.3875060224</v>
      </c>
    </row>
    <row r="156" spans="1:3" x14ac:dyDescent="0.2">
      <c r="A156">
        <v>25</v>
      </c>
      <c r="B156">
        <v>32.278789473684249</v>
      </c>
      <c r="C156">
        <f t="shared" si="25"/>
        <v>1085597.8071233986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4645-B6D4-4546-803F-7EDDD6F79D32}">
  <dimension ref="A1:K85"/>
  <sheetViews>
    <sheetView workbookViewId="0">
      <selection activeCell="G28" sqref="G28:H28"/>
    </sheetView>
  </sheetViews>
  <sheetFormatPr baseColWidth="10" defaultRowHeight="16" x14ac:dyDescent="0.2"/>
  <cols>
    <col min="2" max="2" width="18" customWidth="1"/>
    <col min="6" max="6" width="11.1640625" bestFit="1" customWidth="1"/>
    <col min="7" max="7" width="27.83203125" customWidth="1"/>
  </cols>
  <sheetData>
    <row r="1" spans="1:8" x14ac:dyDescent="0.2">
      <c r="B1" t="s">
        <v>23</v>
      </c>
      <c r="C1" t="s">
        <v>35</v>
      </c>
    </row>
    <row r="2" spans="1:8" x14ac:dyDescent="0.2">
      <c r="B2" s="2"/>
      <c r="C2" s="2" t="s">
        <v>28</v>
      </c>
      <c r="D2" s="2" t="s">
        <v>29</v>
      </c>
      <c r="E2" s="5" t="s">
        <v>24</v>
      </c>
      <c r="F2" s="2" t="s">
        <v>30</v>
      </c>
      <c r="G2" s="2" t="s">
        <v>31</v>
      </c>
      <c r="H2" s="2" t="s">
        <v>32</v>
      </c>
    </row>
    <row r="3" spans="1:8" x14ac:dyDescent="0.2">
      <c r="B3" s="2">
        <v>1</v>
      </c>
      <c r="C3">
        <v>145259.33799999999</v>
      </c>
      <c r="D3">
        <f t="shared" ref="D3:D8" si="0">C3*0.000000000001</f>
        <v>1.4525933799999997E-7</v>
      </c>
      <c r="E3">
        <f>14*12</f>
        <v>168</v>
      </c>
      <c r="F3" s="3">
        <f t="shared" ref="F3:F8" si="1">E3/D3</f>
        <v>1156552152.2616332</v>
      </c>
      <c r="G3" s="3">
        <f>AVERAGE(F3:F8)</f>
        <v>1503386083.965745</v>
      </c>
      <c r="H3" s="3">
        <f>AVERAGE(F10:F15)</f>
        <v>2292232684.6603961</v>
      </c>
    </row>
    <row r="4" spans="1:8" x14ac:dyDescent="0.2">
      <c r="B4" s="2">
        <v>3</v>
      </c>
      <c r="C4">
        <v>51081.063999999998</v>
      </c>
      <c r="D4">
        <f t="shared" si="0"/>
        <v>5.1081064E-8</v>
      </c>
      <c r="E4">
        <v>52</v>
      </c>
      <c r="F4" s="3">
        <f t="shared" si="1"/>
        <v>1017989758.3965753</v>
      </c>
    </row>
    <row r="5" spans="1:8" x14ac:dyDescent="0.2">
      <c r="A5" t="s">
        <v>26</v>
      </c>
      <c r="B5" s="2">
        <v>5</v>
      </c>
      <c r="C5" s="7">
        <v>32959.987000000001</v>
      </c>
      <c r="D5">
        <f t="shared" si="0"/>
        <v>3.2959986999999998E-8</v>
      </c>
      <c r="E5">
        <v>63</v>
      </c>
      <c r="F5" s="3">
        <f t="shared" si="1"/>
        <v>1911408520.8832152</v>
      </c>
      <c r="G5" s="3"/>
      <c r="H5" s="3"/>
    </row>
    <row r="6" spans="1:8" x14ac:dyDescent="0.2">
      <c r="A6" t="s">
        <v>26</v>
      </c>
      <c r="B6" s="2">
        <v>7</v>
      </c>
      <c r="C6" s="7">
        <v>29455.463</v>
      </c>
      <c r="D6">
        <f t="shared" si="0"/>
        <v>2.9455463E-8</v>
      </c>
      <c r="E6">
        <v>48</v>
      </c>
      <c r="F6" s="3">
        <f t="shared" si="1"/>
        <v>1629578866.2361207</v>
      </c>
    </row>
    <row r="7" spans="1:8" x14ac:dyDescent="0.2">
      <c r="A7" t="s">
        <v>26</v>
      </c>
      <c r="B7" s="2">
        <v>9</v>
      </c>
      <c r="C7" s="7">
        <v>13568.914000000001</v>
      </c>
      <c r="D7">
        <f t="shared" si="0"/>
        <v>1.3568914E-8</v>
      </c>
      <c r="E7">
        <v>25</v>
      </c>
      <c r="F7" s="3">
        <f t="shared" si="1"/>
        <v>1842446639.4289181</v>
      </c>
    </row>
    <row r="8" spans="1:8" x14ac:dyDescent="0.2">
      <c r="A8" t="s">
        <v>26</v>
      </c>
      <c r="B8" s="2">
        <v>11</v>
      </c>
      <c r="C8">
        <v>129928.694</v>
      </c>
      <c r="D8">
        <f t="shared" si="0"/>
        <v>1.29928694E-7</v>
      </c>
      <c r="E8">
        <v>190</v>
      </c>
      <c r="F8" s="3">
        <f t="shared" si="1"/>
        <v>1462340566.5880086</v>
      </c>
    </row>
    <row r="9" spans="1:8" x14ac:dyDescent="0.2">
      <c r="F9" s="3"/>
    </row>
    <row r="10" spans="1:8" x14ac:dyDescent="0.2">
      <c r="A10" t="s">
        <v>25</v>
      </c>
      <c r="B10" s="2">
        <v>2</v>
      </c>
      <c r="C10">
        <v>26594.814999999999</v>
      </c>
      <c r="D10">
        <f t="shared" ref="D10:D15" si="2">C10*0.000000000001</f>
        <v>2.6594814999999998E-8</v>
      </c>
      <c r="E10">
        <v>55</v>
      </c>
      <c r="F10" s="3">
        <f t="shared" ref="F10:F15" si="3">E10/D10</f>
        <v>2068072291.535023</v>
      </c>
    </row>
    <row r="11" spans="1:8" x14ac:dyDescent="0.2">
      <c r="A11" t="s">
        <v>25</v>
      </c>
      <c r="B11" s="2">
        <v>4</v>
      </c>
      <c r="C11">
        <v>15930.696</v>
      </c>
      <c r="D11">
        <f t="shared" si="2"/>
        <v>1.5930696000000001E-8</v>
      </c>
      <c r="E11">
        <v>30</v>
      </c>
      <c r="F11" s="3">
        <f t="shared" si="3"/>
        <v>1883156894.0867364</v>
      </c>
    </row>
    <row r="12" spans="1:8" x14ac:dyDescent="0.2">
      <c r="A12" t="s">
        <v>25</v>
      </c>
      <c r="B12" s="2">
        <v>6</v>
      </c>
      <c r="C12" s="7">
        <v>10220.048000000001</v>
      </c>
      <c r="D12">
        <f t="shared" si="2"/>
        <v>1.0220048E-8</v>
      </c>
      <c r="E12">
        <v>31</v>
      </c>
      <c r="F12" s="3">
        <f t="shared" si="3"/>
        <v>3033253855.5591912</v>
      </c>
    </row>
    <row r="13" spans="1:8" x14ac:dyDescent="0.2">
      <c r="A13" t="s">
        <v>25</v>
      </c>
      <c r="B13" s="2">
        <v>8</v>
      </c>
      <c r="C13" s="7">
        <v>14871.437</v>
      </c>
      <c r="D13">
        <f t="shared" si="2"/>
        <v>1.4871437E-8</v>
      </c>
      <c r="E13">
        <v>30</v>
      </c>
      <c r="F13" s="3">
        <f t="shared" si="3"/>
        <v>2017289922.9576805</v>
      </c>
    </row>
    <row r="14" spans="1:8" x14ac:dyDescent="0.2">
      <c r="A14" t="s">
        <v>25</v>
      </c>
      <c r="B14" s="2">
        <v>10</v>
      </c>
      <c r="C14" s="7">
        <v>5138.3760000000002</v>
      </c>
      <c r="D14">
        <f t="shared" si="2"/>
        <v>5.1383760000000002E-9</v>
      </c>
      <c r="E14">
        <v>14</v>
      </c>
      <c r="F14" s="3">
        <f t="shared" si="3"/>
        <v>2724596253.7579966</v>
      </c>
    </row>
    <row r="15" spans="1:8" x14ac:dyDescent="0.2">
      <c r="A15" t="s">
        <v>27</v>
      </c>
      <c r="B15" s="2">
        <v>12</v>
      </c>
      <c r="C15">
        <v>29600.002</v>
      </c>
      <c r="D15">
        <f t="shared" si="2"/>
        <v>2.9600002000000001E-8</v>
      </c>
      <c r="E15">
        <v>60</v>
      </c>
      <c r="F15" s="3">
        <f t="shared" si="3"/>
        <v>2027026890.0657506</v>
      </c>
    </row>
    <row r="17" spans="1:8" x14ac:dyDescent="0.2">
      <c r="A17" t="s">
        <v>36</v>
      </c>
    </row>
    <row r="18" spans="1:8" x14ac:dyDescent="0.2">
      <c r="B18" t="s">
        <v>33</v>
      </c>
      <c r="C18" t="s">
        <v>34</v>
      </c>
    </row>
    <row r="19" spans="1:8" x14ac:dyDescent="0.2">
      <c r="C19" s="2" t="s">
        <v>28</v>
      </c>
      <c r="D19" s="2" t="s">
        <v>29</v>
      </c>
      <c r="E19" s="5" t="s">
        <v>24</v>
      </c>
      <c r="F19" s="2" t="s">
        <v>30</v>
      </c>
      <c r="G19" s="2" t="s">
        <v>31</v>
      </c>
      <c r="H19" s="2" t="s">
        <v>32</v>
      </c>
    </row>
    <row r="20" spans="1:8" x14ac:dyDescent="0.2">
      <c r="B20" s="4">
        <v>1</v>
      </c>
      <c r="C20" s="4">
        <v>246854.32199999999</v>
      </c>
      <c r="D20" s="4">
        <f>C20*0.000000000001</f>
        <v>2.4685432199999997E-7</v>
      </c>
      <c r="E20" s="4">
        <f>17*17</f>
        <v>289</v>
      </c>
      <c r="F20" s="3">
        <f>E20/D20</f>
        <v>1170730970.6329551</v>
      </c>
      <c r="G20" s="3">
        <f>AVERAGE(F20:F21)</f>
        <v>1092853935.7065306</v>
      </c>
      <c r="H20" s="3">
        <f>AVERAGE(F22:F23)</f>
        <v>1907785001.1622787</v>
      </c>
    </row>
    <row r="21" spans="1:8" x14ac:dyDescent="0.2">
      <c r="B21" s="4">
        <v>3</v>
      </c>
      <c r="C21" s="4">
        <v>223650.41</v>
      </c>
      <c r="D21" s="4">
        <f>C21*0.000000000001</f>
        <v>2.2365041E-7</v>
      </c>
      <c r="E21" s="4">
        <f>18+17+15+15+18+16+17+17+19+15+16+17+15+12</f>
        <v>227</v>
      </c>
      <c r="F21" s="3">
        <f>E21/D21</f>
        <v>1014976900.7801058</v>
      </c>
    </row>
    <row r="22" spans="1:8" x14ac:dyDescent="0.2">
      <c r="B22" s="4">
        <v>4</v>
      </c>
      <c r="C22" s="4">
        <v>65465.781000000003</v>
      </c>
      <c r="D22" s="4">
        <f>C22*0.000000000001</f>
        <v>6.5465780999999998E-8</v>
      </c>
      <c r="E22" s="4">
        <v>144</v>
      </c>
      <c r="F22" s="3">
        <f>E22/D22</f>
        <v>2199622425.6455445</v>
      </c>
    </row>
    <row r="23" spans="1:8" x14ac:dyDescent="0.2">
      <c r="B23" s="4">
        <v>2</v>
      </c>
      <c r="C23" s="4">
        <v>84779.978000000003</v>
      </c>
      <c r="D23" s="4">
        <f>C23*0.000000000001</f>
        <v>8.4779977999999995E-8</v>
      </c>
      <c r="E23">
        <v>137</v>
      </c>
      <c r="F23" s="3">
        <f>E23/D23</f>
        <v>1615947576.6790128</v>
      </c>
    </row>
    <row r="24" spans="1:8" x14ac:dyDescent="0.2">
      <c r="B24" t="s">
        <v>37</v>
      </c>
      <c r="D24" s="4"/>
    </row>
    <row r="25" spans="1:8" x14ac:dyDescent="0.2">
      <c r="A25" t="s">
        <v>26</v>
      </c>
      <c r="C25">
        <v>139316.28700000001</v>
      </c>
      <c r="D25" s="4">
        <f>C25*0.000000000001</f>
        <v>1.3931628700000001E-7</v>
      </c>
      <c r="E25">
        <v>181</v>
      </c>
      <c r="F25" s="3">
        <f>E25/D25</f>
        <v>1299202009.309938</v>
      </c>
    </row>
    <row r="26" spans="1:8" x14ac:dyDescent="0.2">
      <c r="A26" t="s">
        <v>25</v>
      </c>
      <c r="C26" s="4">
        <v>32390</v>
      </c>
      <c r="D26" s="4">
        <f>C26*0.000000000001</f>
        <v>3.2390000000000001E-8</v>
      </c>
      <c r="E26">
        <v>63</v>
      </c>
      <c r="F26" s="3">
        <f>E26/D26</f>
        <v>1945044766.9033651</v>
      </c>
      <c r="G26" s="3">
        <v>1299202009.309938</v>
      </c>
      <c r="H26" s="3">
        <v>1945044766.9033651</v>
      </c>
    </row>
    <row r="27" spans="1:8" x14ac:dyDescent="0.2">
      <c r="B27" t="s">
        <v>38</v>
      </c>
      <c r="C27" s="4"/>
      <c r="D27" s="4"/>
      <c r="E27" s="4"/>
      <c r="F27" s="3"/>
    </row>
    <row r="28" spans="1:8" x14ac:dyDescent="0.2">
      <c r="A28" t="s">
        <v>26</v>
      </c>
      <c r="B28" s="4">
        <v>1</v>
      </c>
      <c r="C28">
        <v>179253.891</v>
      </c>
      <c r="D28" s="4">
        <f>C28*0.000000000001</f>
        <v>1.79253891E-7</v>
      </c>
      <c r="E28">
        <v>169</v>
      </c>
      <c r="F28" s="3">
        <f>E28/D28</f>
        <v>942796828.8844564</v>
      </c>
      <c r="G28" s="3">
        <f>AVERAGE(F28:F29)</f>
        <v>901108611.14501977</v>
      </c>
      <c r="H28" s="3">
        <f>AVERAGE(F30:F31)</f>
        <v>1885175116.9630623</v>
      </c>
    </row>
    <row r="29" spans="1:8" x14ac:dyDescent="0.2">
      <c r="A29" t="s">
        <v>26</v>
      </c>
      <c r="B29">
        <v>3</v>
      </c>
      <c r="C29">
        <v>178026.96</v>
      </c>
      <c r="D29" s="4">
        <f>C29*0.000000000001</f>
        <v>1.7802696E-7</v>
      </c>
      <c r="E29" s="4">
        <v>153</v>
      </c>
      <c r="F29" s="3">
        <f>E29/D29</f>
        <v>859420393.40558302</v>
      </c>
    </row>
    <row r="30" spans="1:8" x14ac:dyDescent="0.2">
      <c r="A30" t="s">
        <v>25</v>
      </c>
      <c r="B30">
        <v>4</v>
      </c>
      <c r="C30">
        <v>29523.841</v>
      </c>
      <c r="D30" s="4">
        <f>C30*0.000000000001</f>
        <v>2.9523840999999999E-8</v>
      </c>
      <c r="E30" s="4">
        <v>53</v>
      </c>
      <c r="F30" s="3">
        <f>E30/D30</f>
        <v>1795159376.451052</v>
      </c>
    </row>
    <row r="31" spans="1:8" x14ac:dyDescent="0.2">
      <c r="A31" t="s">
        <v>25</v>
      </c>
      <c r="B31">
        <v>2</v>
      </c>
      <c r="C31">
        <v>26832.85</v>
      </c>
      <c r="D31" s="4">
        <f>C31*0.000000000001</f>
        <v>2.6832849999999998E-8</v>
      </c>
      <c r="E31">
        <v>53</v>
      </c>
      <c r="F31" s="3">
        <f>E31/D31</f>
        <v>1975190857.4750726</v>
      </c>
      <c r="G31" s="4"/>
    </row>
    <row r="32" spans="1:8" x14ac:dyDescent="0.2">
      <c r="D32" s="4"/>
      <c r="F32" s="3"/>
      <c r="G32" s="4"/>
    </row>
    <row r="33" spans="1:8" x14ac:dyDescent="0.2">
      <c r="B33" s="4" t="s">
        <v>39</v>
      </c>
      <c r="C33" s="4"/>
      <c r="D33" s="4"/>
      <c r="E33" s="4"/>
      <c r="F33" s="3"/>
    </row>
    <row r="34" spans="1:8" x14ac:dyDescent="0.2">
      <c r="A34" t="s">
        <v>26</v>
      </c>
      <c r="B34" s="4">
        <v>1</v>
      </c>
      <c r="C34" s="4">
        <v>694955.74899999995</v>
      </c>
      <c r="D34" s="4">
        <f>C34*0.000000000001</f>
        <v>6.949557489999999E-7</v>
      </c>
      <c r="E34" s="4">
        <f>39*17</f>
        <v>663</v>
      </c>
      <c r="F34" s="3">
        <f>E34/D34</f>
        <v>954017577.31196225</v>
      </c>
      <c r="G34" s="3">
        <f>AVERAGE(F34:F37)</f>
        <v>1029748179.181354</v>
      </c>
      <c r="H34" s="3">
        <f>AVERAGE(F39:F42)</f>
        <v>1921749773.7200744</v>
      </c>
    </row>
    <row r="35" spans="1:8" x14ac:dyDescent="0.2">
      <c r="A35" t="s">
        <v>26</v>
      </c>
      <c r="B35" s="4">
        <v>3</v>
      </c>
      <c r="C35" s="4">
        <v>627022.66599999997</v>
      </c>
      <c r="D35" s="4">
        <f>C35*0.000000000001</f>
        <v>6.2702266599999994E-7</v>
      </c>
      <c r="E35" s="4">
        <f>39*17</f>
        <v>663</v>
      </c>
      <c r="F35" s="3">
        <f>E35/D35</f>
        <v>1057378043.8106205</v>
      </c>
    </row>
    <row r="36" spans="1:8" x14ac:dyDescent="0.2">
      <c r="A36" t="s">
        <v>26</v>
      </c>
      <c r="B36" s="4">
        <v>5</v>
      </c>
      <c r="C36" s="4">
        <v>453720.47399999999</v>
      </c>
      <c r="D36" s="4">
        <f>C36*0.000000000001</f>
        <v>4.5372047399999999E-7</v>
      </c>
      <c r="E36" s="4">
        <f>31*15</f>
        <v>465</v>
      </c>
      <c r="F36" s="3">
        <f>E36/D36</f>
        <v>1024860077.1760633</v>
      </c>
    </row>
    <row r="37" spans="1:8" x14ac:dyDescent="0.2">
      <c r="A37" t="s">
        <v>26</v>
      </c>
      <c r="B37" s="4">
        <v>7</v>
      </c>
      <c r="C37" s="4">
        <v>332490.71000000002</v>
      </c>
      <c r="D37" s="4">
        <f>C37*0.000000000001</f>
        <v>3.3249071000000002E-7</v>
      </c>
      <c r="E37" s="4">
        <f>20*18</f>
        <v>360</v>
      </c>
      <c r="F37" s="3">
        <f>E37/D37</f>
        <v>1082737018.4267704</v>
      </c>
    </row>
    <row r="39" spans="1:8" x14ac:dyDescent="0.2">
      <c r="A39" t="s">
        <v>25</v>
      </c>
      <c r="B39" s="4">
        <v>2</v>
      </c>
      <c r="C39" s="4">
        <v>126581.185</v>
      </c>
      <c r="D39" s="4">
        <f>C39*0.000000000001</f>
        <v>1.26581185E-7</v>
      </c>
      <c r="E39" s="4">
        <f>43*6</f>
        <v>258</v>
      </c>
      <c r="F39" s="3">
        <f>E39/D39</f>
        <v>2038217607.1427994</v>
      </c>
    </row>
    <row r="40" spans="1:8" x14ac:dyDescent="0.2">
      <c r="A40" t="s">
        <v>25</v>
      </c>
      <c r="B40" s="4">
        <v>4</v>
      </c>
      <c r="C40" s="4">
        <v>100013.133</v>
      </c>
      <c r="D40" s="4">
        <f>C40*0.000000000001</f>
        <v>1.00013133E-7</v>
      </c>
      <c r="E40" s="4">
        <f>40*6</f>
        <v>240</v>
      </c>
      <c r="F40" s="3">
        <f>E40/D40</f>
        <v>2399684849.3887296</v>
      </c>
    </row>
    <row r="41" spans="1:8" x14ac:dyDescent="0.2">
      <c r="A41" t="s">
        <v>25</v>
      </c>
      <c r="B41" s="4">
        <v>6</v>
      </c>
      <c r="C41" s="4">
        <v>116756.39200000001</v>
      </c>
      <c r="D41" s="4">
        <f>C41*0.000000000001</f>
        <v>1.1675639200000001E-7</v>
      </c>
      <c r="E41" s="4">
        <f>29*6</f>
        <v>174</v>
      </c>
      <c r="F41" s="3">
        <f>E41/D41</f>
        <v>1490282433.5304914</v>
      </c>
    </row>
    <row r="42" spans="1:8" x14ac:dyDescent="0.2">
      <c r="A42" t="s">
        <v>25</v>
      </c>
      <c r="B42" s="4">
        <v>8</v>
      </c>
      <c r="C42" s="4">
        <v>75619.13</v>
      </c>
      <c r="D42" s="4">
        <f>C42*0.000000000001</f>
        <v>7.5619130000000005E-8</v>
      </c>
      <c r="E42" s="4">
        <f>19*7</f>
        <v>133</v>
      </c>
      <c r="F42" s="3">
        <f>E42/D42</f>
        <v>1758814204.8182781</v>
      </c>
    </row>
    <row r="43" spans="1:8" x14ac:dyDescent="0.2">
      <c r="F43" s="3"/>
    </row>
    <row r="44" spans="1:8" x14ac:dyDescent="0.2">
      <c r="F44" s="3"/>
    </row>
    <row r="45" spans="1:8" x14ac:dyDescent="0.2">
      <c r="A45" t="s">
        <v>40</v>
      </c>
      <c r="F45" s="3"/>
      <c r="G45" s="3"/>
      <c r="H45" s="3"/>
    </row>
    <row r="46" spans="1:8" x14ac:dyDescent="0.2">
      <c r="B46" t="s">
        <v>41</v>
      </c>
      <c r="F46" s="3"/>
    </row>
    <row r="47" spans="1:8" x14ac:dyDescent="0.2">
      <c r="A47" t="s">
        <v>26</v>
      </c>
      <c r="B47" s="4">
        <v>1</v>
      </c>
      <c r="C47" s="4">
        <v>880081.40099999995</v>
      </c>
      <c r="D47" s="4">
        <f t="shared" ref="D47:D55" si="4">C47*0.000000000001</f>
        <v>8.8008140099999992E-7</v>
      </c>
      <c r="E47">
        <f>65*15</f>
        <v>975</v>
      </c>
      <c r="F47" s="3">
        <f t="shared" ref="F47:F55" si="5">E47/D47</f>
        <v>1107852067.879344</v>
      </c>
      <c r="G47" s="3">
        <f>AVERAGE(F47:F55)</f>
        <v>1316096233.9890323</v>
      </c>
      <c r="H47" s="3">
        <f>AVERAGE(F57:F65)</f>
        <v>1883726436.4880617</v>
      </c>
    </row>
    <row r="48" spans="1:8" x14ac:dyDescent="0.2">
      <c r="A48" t="s">
        <v>26</v>
      </c>
      <c r="B48" s="4">
        <v>3</v>
      </c>
      <c r="C48" s="4">
        <v>1021664.556</v>
      </c>
      <c r="D48" s="4">
        <f t="shared" si="4"/>
        <v>1.0216645560000001E-6</v>
      </c>
      <c r="E48">
        <f>71*18</f>
        <v>1278</v>
      </c>
      <c r="F48" s="3">
        <f t="shared" si="5"/>
        <v>1250899810.994324</v>
      </c>
    </row>
    <row r="49" spans="1:6" x14ac:dyDescent="0.2">
      <c r="A49" t="s">
        <v>26</v>
      </c>
      <c r="B49" s="4">
        <v>5</v>
      </c>
      <c r="C49" s="4">
        <v>582909.03899999999</v>
      </c>
      <c r="D49" s="4">
        <f t="shared" si="4"/>
        <v>5.8290903900000003E-7</v>
      </c>
      <c r="E49">
        <f>74*12</f>
        <v>888</v>
      </c>
      <c r="F49" s="3">
        <f t="shared" si="5"/>
        <v>1523393772.5916786</v>
      </c>
    </row>
    <row r="50" spans="1:6" x14ac:dyDescent="0.2">
      <c r="A50" t="s">
        <v>26</v>
      </c>
      <c r="B50" s="4">
        <v>7</v>
      </c>
      <c r="C50" s="4">
        <v>927323.99699999997</v>
      </c>
      <c r="D50" s="4">
        <f t="shared" si="4"/>
        <v>9.2732399699999991E-7</v>
      </c>
      <c r="E50">
        <f>73*15</f>
        <v>1095</v>
      </c>
      <c r="F50" s="3">
        <f t="shared" si="5"/>
        <v>1180817064.5237815</v>
      </c>
    </row>
    <row r="51" spans="1:6" x14ac:dyDescent="0.2">
      <c r="A51" t="s">
        <v>26</v>
      </c>
      <c r="B51" s="4">
        <v>9</v>
      </c>
      <c r="C51" s="4">
        <v>942126.1</v>
      </c>
      <c r="D51" s="4">
        <f t="shared" si="4"/>
        <v>9.4212609999999997E-7</v>
      </c>
      <c r="E51">
        <f>75*25</f>
        <v>1875</v>
      </c>
      <c r="F51" s="3">
        <f t="shared" si="5"/>
        <v>1990179446.2545938</v>
      </c>
    </row>
    <row r="52" spans="1:6" x14ac:dyDescent="0.2">
      <c r="A52" t="s">
        <v>26</v>
      </c>
      <c r="B52" s="4">
        <v>11</v>
      </c>
      <c r="C52" s="4">
        <v>716830.06299999997</v>
      </c>
      <c r="D52" s="4">
        <f t="shared" si="4"/>
        <v>7.1683006299999996E-7</v>
      </c>
      <c r="E52">
        <f>73*12</f>
        <v>876</v>
      </c>
      <c r="F52" s="3">
        <f t="shared" si="5"/>
        <v>1222046960.9405878</v>
      </c>
    </row>
    <row r="53" spans="1:6" x14ac:dyDescent="0.2">
      <c r="A53" t="s">
        <v>26</v>
      </c>
      <c r="B53" s="4">
        <v>13</v>
      </c>
      <c r="C53" s="4">
        <v>836905.61100000003</v>
      </c>
      <c r="D53" s="4">
        <f t="shared" si="4"/>
        <v>8.3690561100000001E-7</v>
      </c>
      <c r="E53">
        <f>68*15</f>
        <v>1020</v>
      </c>
      <c r="F53" s="3">
        <f t="shared" si="5"/>
        <v>1218775434.8799555</v>
      </c>
    </row>
    <row r="54" spans="1:6" x14ac:dyDescent="0.2">
      <c r="A54" t="s">
        <v>26</v>
      </c>
      <c r="B54" s="4">
        <v>15</v>
      </c>
      <c r="C54" s="4">
        <v>726572.28899999999</v>
      </c>
      <c r="D54" s="4">
        <f t="shared" si="4"/>
        <v>7.2657228900000002E-7</v>
      </c>
      <c r="E54">
        <f>60*15</f>
        <v>900</v>
      </c>
      <c r="F54" s="3">
        <f t="shared" si="5"/>
        <v>1238692988.4687634</v>
      </c>
    </row>
    <row r="55" spans="1:6" x14ac:dyDescent="0.2">
      <c r="A55" t="s">
        <v>26</v>
      </c>
      <c r="B55" s="4">
        <v>17</v>
      </c>
      <c r="C55" s="4">
        <v>755254.03300000005</v>
      </c>
      <c r="D55" s="4">
        <f t="shared" si="4"/>
        <v>7.5525403300000001E-7</v>
      </c>
      <c r="E55">
        <f>70*12</f>
        <v>840</v>
      </c>
      <c r="F55" s="3">
        <f t="shared" si="5"/>
        <v>1112208559.3682623</v>
      </c>
    </row>
    <row r="56" spans="1:6" x14ac:dyDescent="0.2">
      <c r="E56" s="4"/>
      <c r="F56" s="3"/>
    </row>
    <row r="57" spans="1:6" x14ac:dyDescent="0.2">
      <c r="A57" t="s">
        <v>25</v>
      </c>
      <c r="B57" s="4">
        <v>2</v>
      </c>
      <c r="C57" s="4">
        <v>282822.37900000002</v>
      </c>
      <c r="D57" s="4">
        <f t="shared" ref="D57:D65" si="6">C57*0.000000000001</f>
        <v>2.8282237899999999E-7</v>
      </c>
      <c r="E57" s="4">
        <f>65*8</f>
        <v>520</v>
      </c>
      <c r="F57" s="3">
        <f t="shared" ref="F57:F65" si="7">E57/D57</f>
        <v>1838609808.1722169</v>
      </c>
    </row>
    <row r="58" spans="1:6" x14ac:dyDescent="0.2">
      <c r="A58" t="s">
        <v>25</v>
      </c>
      <c r="B58" s="4">
        <v>4</v>
      </c>
      <c r="C58" s="4">
        <v>178469.11900000001</v>
      </c>
      <c r="D58" s="4">
        <f t="shared" si="6"/>
        <v>1.7846911899999999E-7</v>
      </c>
      <c r="E58" s="4">
        <f>70*5</f>
        <v>350</v>
      </c>
      <c r="F58" s="3">
        <f t="shared" si="7"/>
        <v>1961123593.6005266</v>
      </c>
    </row>
    <row r="59" spans="1:6" x14ac:dyDescent="0.2">
      <c r="A59" t="s">
        <v>25</v>
      </c>
      <c r="B59" s="4">
        <v>6</v>
      </c>
      <c r="C59" s="4">
        <v>136131.51699999999</v>
      </c>
      <c r="D59" s="4">
        <f t="shared" si="6"/>
        <v>1.3613151699999999E-7</v>
      </c>
      <c r="E59" s="4">
        <f>(48*4)+(6*13)</f>
        <v>270</v>
      </c>
      <c r="F59" s="3">
        <f t="shared" si="7"/>
        <v>1983376120.0207593</v>
      </c>
    </row>
    <row r="60" spans="1:6" x14ac:dyDescent="0.2">
      <c r="A60" t="s">
        <v>25</v>
      </c>
      <c r="B60" s="4">
        <v>8</v>
      </c>
      <c r="C60" s="4">
        <v>227365.31400000001</v>
      </c>
      <c r="D60" s="4">
        <f t="shared" si="6"/>
        <v>2.27365314E-7</v>
      </c>
      <c r="E60">
        <f>73*6</f>
        <v>438</v>
      </c>
      <c r="F60" s="3">
        <f t="shared" si="7"/>
        <v>1926415213.887902</v>
      </c>
    </row>
    <row r="61" spans="1:6" x14ac:dyDescent="0.2">
      <c r="A61" t="s">
        <v>25</v>
      </c>
      <c r="B61" s="4">
        <v>10</v>
      </c>
      <c r="C61" s="4">
        <v>217270.61499999999</v>
      </c>
      <c r="D61" s="4">
        <f t="shared" si="6"/>
        <v>2.1727061499999999E-7</v>
      </c>
      <c r="E61">
        <f>75*5</f>
        <v>375</v>
      </c>
      <c r="F61" s="3">
        <f t="shared" si="7"/>
        <v>1725958201.9409299</v>
      </c>
    </row>
    <row r="62" spans="1:6" x14ac:dyDescent="0.2">
      <c r="A62" t="s">
        <v>25</v>
      </c>
      <c r="B62" s="4">
        <v>12</v>
      </c>
      <c r="C62" s="4">
        <v>176243.25099999999</v>
      </c>
      <c r="D62" s="4">
        <f t="shared" si="6"/>
        <v>1.7624325099999998E-7</v>
      </c>
      <c r="E62" s="4">
        <f>73*5</f>
        <v>365</v>
      </c>
      <c r="F62" s="3">
        <f t="shared" si="7"/>
        <v>2071001289.0082245</v>
      </c>
    </row>
    <row r="63" spans="1:6" x14ac:dyDescent="0.2">
      <c r="A63" t="s">
        <v>25</v>
      </c>
      <c r="B63" s="4">
        <v>14</v>
      </c>
      <c r="C63" s="4">
        <v>180356.75</v>
      </c>
      <c r="D63" s="4">
        <f t="shared" si="6"/>
        <v>1.8035675E-7</v>
      </c>
      <c r="E63" s="4">
        <f>68*5</f>
        <v>340</v>
      </c>
      <c r="F63" s="3">
        <f t="shared" si="7"/>
        <v>1885152621.1245213</v>
      </c>
    </row>
    <row r="64" spans="1:6" x14ac:dyDescent="0.2">
      <c r="A64" t="s">
        <v>25</v>
      </c>
      <c r="B64" s="4">
        <v>16</v>
      </c>
      <c r="C64" s="4">
        <v>187295.147</v>
      </c>
      <c r="D64" s="4">
        <f t="shared" si="6"/>
        <v>1.8729514699999999E-7</v>
      </c>
      <c r="E64" s="4">
        <f>60*5</f>
        <v>300</v>
      </c>
      <c r="F64" s="3">
        <f t="shared" si="7"/>
        <v>1601749990.8847079</v>
      </c>
    </row>
    <row r="65" spans="1:11" x14ac:dyDescent="0.2">
      <c r="A65" t="s">
        <v>25</v>
      </c>
      <c r="B65" s="4">
        <v>18</v>
      </c>
      <c r="C65" s="4">
        <v>214269.19699999999</v>
      </c>
      <c r="D65" s="4">
        <f t="shared" si="6"/>
        <v>2.1426919699999997E-7</v>
      </c>
      <c r="E65">
        <f>70*6</f>
        <v>420</v>
      </c>
      <c r="F65" s="3">
        <f t="shared" si="7"/>
        <v>1960151089.7527659</v>
      </c>
    </row>
    <row r="66" spans="1:11" x14ac:dyDescent="0.2">
      <c r="F66" s="3"/>
    </row>
    <row r="67" spans="1:11" x14ac:dyDescent="0.2">
      <c r="B67" t="s">
        <v>42</v>
      </c>
      <c r="F67" s="3"/>
      <c r="G67" t="s">
        <v>26</v>
      </c>
      <c r="H67" s="4" t="s">
        <v>25</v>
      </c>
    </row>
    <row r="68" spans="1:11" x14ac:dyDescent="0.2">
      <c r="A68" t="s">
        <v>26</v>
      </c>
      <c r="B68" s="4">
        <v>1</v>
      </c>
      <c r="C68" s="4">
        <v>2125883.7919999999</v>
      </c>
      <c r="D68">
        <f>C68*0.000000000001</f>
        <v>2.1258837919999999E-6</v>
      </c>
      <c r="E68">
        <f>53*31</f>
        <v>1643</v>
      </c>
      <c r="F68" s="3">
        <f>E68/D68</f>
        <v>772855038.54107189</v>
      </c>
      <c r="G68" s="3">
        <f>AVERAGE(F68:F70)</f>
        <v>739926688.03710067</v>
      </c>
      <c r="H68" s="3">
        <f>AVERAGE(F72:F74)</f>
        <v>1550958901.7095528</v>
      </c>
    </row>
    <row r="69" spans="1:11" x14ac:dyDescent="0.2">
      <c r="A69" t="s">
        <v>26</v>
      </c>
      <c r="B69" s="4">
        <v>5</v>
      </c>
      <c r="C69" s="4">
        <v>1037417.023</v>
      </c>
      <c r="D69">
        <f>C69*0.000000000001</f>
        <v>1.037417023E-6</v>
      </c>
      <c r="E69">
        <f>54*15</f>
        <v>810</v>
      </c>
      <c r="F69" s="3">
        <f>E69/D69</f>
        <v>780785337.08425558</v>
      </c>
    </row>
    <row r="70" spans="1:11" x14ac:dyDescent="0.2">
      <c r="A70" t="s">
        <v>26</v>
      </c>
      <c r="B70" s="4">
        <v>7</v>
      </c>
      <c r="C70" s="4">
        <v>2469452.0210000002</v>
      </c>
      <c r="D70">
        <f>C70*0.000000000001</f>
        <v>2.4694520210000002E-6</v>
      </c>
      <c r="E70">
        <f>47*35</f>
        <v>1645</v>
      </c>
      <c r="F70" s="3">
        <f>E70/D70</f>
        <v>666139688.48597443</v>
      </c>
    </row>
    <row r="71" spans="1:11" x14ac:dyDescent="0.2">
      <c r="I71" s="1" t="s">
        <v>35</v>
      </c>
      <c r="J71" s="8">
        <f>AVERAGE(G3,G47,G68)</f>
        <v>1186469668.6639593</v>
      </c>
      <c r="K71" s="8">
        <f>AVERAGE(H3,H47,H68)</f>
        <v>1908972674.2860034</v>
      </c>
    </row>
    <row r="72" spans="1:11" x14ac:dyDescent="0.2">
      <c r="A72" t="s">
        <v>25</v>
      </c>
      <c r="B72" s="4">
        <v>2</v>
      </c>
      <c r="C72" s="4">
        <v>511462.05800000002</v>
      </c>
      <c r="D72">
        <f>C72*0.000000000001</f>
        <v>5.11462058E-7</v>
      </c>
      <c r="E72">
        <f>15*53</f>
        <v>795</v>
      </c>
      <c r="F72" s="3">
        <f>E72/D72</f>
        <v>1554367499.1430156</v>
      </c>
      <c r="I72" s="8" t="s">
        <v>34</v>
      </c>
      <c r="J72" s="8">
        <f>AVERAGE(G20,G26,G28,G34)</f>
        <v>1080728183.8357105</v>
      </c>
      <c r="K72" s="8">
        <f>AVERAGE(H20,H26,H28,H34)</f>
        <v>1914938664.6871951</v>
      </c>
    </row>
    <row r="73" spans="1:11" x14ac:dyDescent="0.2">
      <c r="A73" t="s">
        <v>25</v>
      </c>
      <c r="B73" s="4">
        <v>6</v>
      </c>
      <c r="C73" s="4">
        <v>349011.89500000002</v>
      </c>
      <c r="D73">
        <f>C73*0.000000000001</f>
        <v>3.4901189500000002E-7</v>
      </c>
      <c r="E73">
        <f>53*12</f>
        <v>636</v>
      </c>
      <c r="F73" s="3">
        <f>E73/D73</f>
        <v>1822287461.0047317</v>
      </c>
    </row>
    <row r="74" spans="1:11" x14ac:dyDescent="0.2">
      <c r="A74" t="s">
        <v>25</v>
      </c>
      <c r="B74" s="4">
        <v>8</v>
      </c>
      <c r="C74" s="4">
        <v>589239.29399999999</v>
      </c>
      <c r="D74">
        <f>C74*0.000000000001</f>
        <v>5.8923929400000003E-7</v>
      </c>
      <c r="E74">
        <f>47*16</f>
        <v>752</v>
      </c>
      <c r="F74" s="3">
        <f>E74/D74</f>
        <v>1276221744.9809108</v>
      </c>
    </row>
    <row r="76" spans="1:11" x14ac:dyDescent="0.2">
      <c r="F76" s="3"/>
    </row>
    <row r="77" spans="1:11" x14ac:dyDescent="0.2">
      <c r="B77" t="s">
        <v>112</v>
      </c>
      <c r="F77" s="3"/>
    </row>
    <row r="78" spans="1:11" x14ac:dyDescent="0.2">
      <c r="A78" t="s">
        <v>25</v>
      </c>
      <c r="B78">
        <v>1</v>
      </c>
      <c r="C78">
        <v>30645.496999999999</v>
      </c>
      <c r="D78">
        <f>C78*0.000000000001</f>
        <v>3.0645496999999997E-8</v>
      </c>
      <c r="E78">
        <v>48</v>
      </c>
      <c r="F78" s="3">
        <f>E78/D78</f>
        <v>1566298631.0843647</v>
      </c>
      <c r="G78" s="3">
        <f>AVERAGE(F83:F85)</f>
        <v>868740337.05044556</v>
      </c>
      <c r="H78" s="3">
        <f>AVERAGE(F78:F80)</f>
        <v>1402828427.1260099</v>
      </c>
    </row>
    <row r="79" spans="1:11" x14ac:dyDescent="0.2">
      <c r="A79" t="s">
        <v>25</v>
      </c>
      <c r="B79">
        <v>3</v>
      </c>
      <c r="C79">
        <v>60350.017999999996</v>
      </c>
      <c r="D79">
        <f>C79*0.000000000001</f>
        <v>6.0350017999999994E-8</v>
      </c>
      <c r="E79">
        <v>71</v>
      </c>
      <c r="F79" s="3">
        <f t="shared" ref="F79:F83" si="8">E79/D79</f>
        <v>1176470237.3411057</v>
      </c>
    </row>
    <row r="80" spans="1:11" x14ac:dyDescent="0.2">
      <c r="A80" t="s">
        <v>25</v>
      </c>
      <c r="B80">
        <v>5</v>
      </c>
      <c r="C80">
        <v>59356.639000000003</v>
      </c>
      <c r="D80">
        <f>C80*0.000000000001</f>
        <v>5.9356639000000001E-8</v>
      </c>
      <c r="E80">
        <v>87</v>
      </c>
      <c r="F80" s="3">
        <f t="shared" si="8"/>
        <v>1465716412.9525595</v>
      </c>
    </row>
    <row r="83" spans="1:6" x14ac:dyDescent="0.2">
      <c r="A83" t="s">
        <v>26</v>
      </c>
      <c r="B83">
        <v>2</v>
      </c>
      <c r="C83">
        <v>123832.823</v>
      </c>
      <c r="D83">
        <f>C83*0.000000000001</f>
        <v>1.2383282300000001E-7</v>
      </c>
      <c r="E83">
        <v>114</v>
      </c>
      <c r="F83" s="3">
        <f>E83/D83</f>
        <v>920595987.70513356</v>
      </c>
    </row>
    <row r="84" spans="1:6" x14ac:dyDescent="0.2">
      <c r="A84" t="s">
        <v>26</v>
      </c>
      <c r="B84">
        <v>4</v>
      </c>
      <c r="C84">
        <v>477988.18099999998</v>
      </c>
      <c r="D84">
        <f>C84*0.000000000001</f>
        <v>4.7798818099999992E-7</v>
      </c>
      <c r="E84">
        <v>395</v>
      </c>
      <c r="F84" s="3">
        <f>E84/D84</f>
        <v>826380265.66602504</v>
      </c>
    </row>
    <row r="85" spans="1:6" x14ac:dyDescent="0.2">
      <c r="A85" t="s">
        <v>26</v>
      </c>
      <c r="B85">
        <v>6</v>
      </c>
      <c r="C85">
        <v>223452.04699999999</v>
      </c>
      <c r="D85">
        <f>C85*0.000000000001</f>
        <v>2.2345204699999999E-7</v>
      </c>
      <c r="E85">
        <v>192</v>
      </c>
      <c r="F85" s="3">
        <f>E85/D85</f>
        <v>859244757.78017831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 Roldin Nicolau</dc:creator>
  <cp:lastModifiedBy>Estefania Roldin Nicolau</cp:lastModifiedBy>
  <dcterms:created xsi:type="dcterms:W3CDTF">2025-06-02T18:08:05Z</dcterms:created>
  <dcterms:modified xsi:type="dcterms:W3CDTF">2025-06-21T00:45:35Z</dcterms:modified>
</cp:coreProperties>
</file>