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stefaniaroldannicolau/Documents/GitHub/Data_Wasootch/Tracheid analyses/"/>
    </mc:Choice>
  </mc:AlternateContent>
  <xr:revisionPtr revIDLastSave="0" documentId="13_ncr:1_{C86957EA-1180-E347-987B-F3A9FD4F65DD}" xr6:coauthVersionLast="47" xr6:coauthVersionMax="47" xr10:uidLastSave="{00000000-0000-0000-0000-000000000000}"/>
  <bookViews>
    <workbookView xWindow="7020" yWindow="3120" windowWidth="19780" windowHeight="15780" xr2:uid="{3B7FCEBC-8747-844D-9B2B-3DEC3B1E0F2F}"/>
  </bookViews>
  <sheets>
    <sheet name="TOTALS" sheetId="3" r:id="rId1"/>
    <sheet name="tracheidogram-avg" sheetId="1" r:id="rId2"/>
    <sheet name="Hydraulic diam" sheetId="2" r:id="rId3"/>
    <sheet name="TOTALS_2axis_" sheetId="8" r:id="rId4"/>
    <sheet name="TOTALS_2axis_D4" sheetId="6" r:id="rId5"/>
    <sheet name="TOTALS_2axis_D4 (2)" sheetId="9" r:id="rId6"/>
    <sheet name="Hydraulic_diam_2axis" sheetId="7" r:id="rId7"/>
  </sheets>
  <definedNames>
    <definedName name="_xlchart.v1.0" hidden="1">'tracheidogram-avg'!$AB$1</definedName>
    <definedName name="_xlchart.v1.1" hidden="1">'tracheidogram-avg'!$AB$2:$AB$26</definedName>
    <definedName name="_xlchart.v1.10" hidden="1">'tracheidogram-avg'!$T$1</definedName>
    <definedName name="_xlchart.v1.11" hidden="1">'tracheidogram-avg'!$T$2:$T$26</definedName>
    <definedName name="_xlchart.v1.12" hidden="1">'tracheidogram-avg'!$V$1</definedName>
    <definedName name="_xlchart.v1.13" hidden="1">'tracheidogram-avg'!$V$2:$V$26</definedName>
    <definedName name="_xlchart.v1.14" hidden="1">'tracheidogram-avg'!$X$1</definedName>
    <definedName name="_xlchart.v1.15" hidden="1">'tracheidogram-avg'!$X$2:$X$26</definedName>
    <definedName name="_xlchart.v1.16" hidden="1">'tracheidogram-avg'!$Z$1</definedName>
    <definedName name="_xlchart.v1.17" hidden="1">'tracheidogram-avg'!$Z$2:$Z$26</definedName>
    <definedName name="_xlchart.v1.2" hidden="1">'tracheidogram-avg'!$AD$1</definedName>
    <definedName name="_xlchart.v1.3" hidden="1">'tracheidogram-avg'!$AD$2:$AD$26</definedName>
    <definedName name="_xlchart.v1.4" hidden="1">'tracheidogram-avg'!$N$1</definedName>
    <definedName name="_xlchart.v1.5" hidden="1">'tracheidogram-avg'!$N$2:$N$26</definedName>
    <definedName name="_xlchart.v1.6" hidden="1">'tracheidogram-avg'!$P$1</definedName>
    <definedName name="_xlchart.v1.7" hidden="1">'tracheidogram-avg'!$P$2:$P$26</definedName>
    <definedName name="_xlchart.v1.8" hidden="1">'tracheidogram-avg'!$R$1</definedName>
    <definedName name="_xlchart.v1.9" hidden="1">'tracheidogram-avg'!$R$2:$R$26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3" l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76" i="3" l="1"/>
  <c r="H76" i="3" s="1"/>
  <c r="E75" i="3"/>
  <c r="H75" i="3" s="1"/>
  <c r="E74" i="3"/>
  <c r="E73" i="3"/>
  <c r="H73" i="3" s="1"/>
  <c r="E72" i="3"/>
  <c r="E71" i="3"/>
  <c r="H71" i="3" s="1"/>
  <c r="E70" i="3"/>
  <c r="E69" i="3"/>
  <c r="H69" i="3" s="1"/>
  <c r="E68" i="3"/>
  <c r="H68" i="3" s="1"/>
  <c r="E67" i="3"/>
  <c r="E66" i="3"/>
  <c r="H66" i="3" s="1"/>
  <c r="E65" i="3"/>
  <c r="H65" i="3" s="1"/>
  <c r="E64" i="3"/>
  <c r="H64" i="3" s="1"/>
  <c r="E63" i="3"/>
  <c r="H63" i="3" s="1"/>
  <c r="E62" i="3"/>
  <c r="E61" i="3"/>
  <c r="H61" i="3" s="1"/>
  <c r="E60" i="3"/>
  <c r="E59" i="3"/>
  <c r="H59" i="3" s="1"/>
  <c r="P30" i="1"/>
  <c r="P31" i="1"/>
  <c r="P32" i="1"/>
  <c r="P33" i="1"/>
  <c r="P34" i="1"/>
  <c r="P35" i="1"/>
  <c r="P36" i="1"/>
  <c r="P37" i="1"/>
  <c r="P29" i="1"/>
  <c r="O37" i="1"/>
  <c r="O36" i="1"/>
  <c r="O35" i="1"/>
  <c r="O34" i="1"/>
  <c r="O33" i="1"/>
  <c r="O32" i="1"/>
  <c r="O31" i="1"/>
  <c r="O30" i="1"/>
  <c r="N37" i="1"/>
  <c r="N36" i="1"/>
  <c r="N35" i="1"/>
  <c r="N34" i="1"/>
  <c r="N33" i="1"/>
  <c r="N32" i="1"/>
  <c r="N31" i="1"/>
  <c r="N30" i="1"/>
  <c r="O29" i="1"/>
  <c r="N29" i="1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" i="3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" i="9"/>
  <c r="E19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2" i="6"/>
  <c r="K36" i="3"/>
  <c r="J40" i="3"/>
  <c r="K25" i="3"/>
  <c r="J32" i="3"/>
  <c r="N29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24" i="9"/>
  <c r="K24" i="9"/>
  <c r="I44" i="9"/>
  <c r="F67" i="3" l="1"/>
  <c r="F59" i="3"/>
  <c r="H67" i="3"/>
  <c r="I67" i="3" s="1"/>
  <c r="F61" i="3"/>
  <c r="F69" i="3"/>
  <c r="F71" i="3"/>
  <c r="F73" i="3"/>
  <c r="I65" i="3"/>
  <c r="I63" i="3"/>
  <c r="I75" i="3"/>
  <c r="H62" i="3"/>
  <c r="I61" i="3" s="1"/>
  <c r="F63" i="3"/>
  <c r="H74" i="3"/>
  <c r="I73" i="3" s="1"/>
  <c r="H72" i="3"/>
  <c r="I71" i="3" s="1"/>
  <c r="H60" i="3"/>
  <c r="I59" i="3" s="1"/>
  <c r="F65" i="3"/>
  <c r="H70" i="3"/>
  <c r="I69" i="3" s="1"/>
  <c r="F75" i="3"/>
  <c r="L18" i="3"/>
  <c r="M18" i="3" s="1"/>
  <c r="L10" i="3"/>
  <c r="M10" i="3" s="1"/>
  <c r="I6" i="3"/>
  <c r="J6" i="3" s="1"/>
  <c r="L4" i="3"/>
  <c r="M4" i="3" s="1"/>
  <c r="L14" i="3"/>
  <c r="M14" i="3" s="1"/>
  <c r="L8" i="3"/>
  <c r="M8" i="3" s="1"/>
  <c r="I14" i="3"/>
  <c r="J14" i="3" s="1"/>
  <c r="L16" i="3"/>
  <c r="M16" i="3" s="1"/>
  <c r="L12" i="3"/>
  <c r="M12" i="3" s="1"/>
  <c r="L2" i="3"/>
  <c r="M2" i="3" s="1"/>
  <c r="L6" i="3"/>
  <c r="M6" i="3" s="1"/>
  <c r="I4" i="3"/>
  <c r="I12" i="3"/>
  <c r="I2" i="3"/>
  <c r="J2" i="3" s="1"/>
  <c r="I10" i="3"/>
  <c r="J10" i="3" s="1"/>
  <c r="I18" i="3"/>
  <c r="I16" i="3"/>
  <c r="J16" i="3" s="1"/>
  <c r="I8" i="3"/>
  <c r="J8" i="3" s="1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D25" i="9"/>
  <c r="D26" i="9"/>
  <c r="D27" i="9"/>
  <c r="I26" i="9" s="1"/>
  <c r="J26" i="9" s="1"/>
  <c r="D28" i="9"/>
  <c r="D29" i="9"/>
  <c r="D30" i="9"/>
  <c r="D31" i="9"/>
  <c r="D32" i="9"/>
  <c r="D33" i="9"/>
  <c r="D34" i="9"/>
  <c r="D35" i="9"/>
  <c r="D36" i="9"/>
  <c r="D37" i="9"/>
  <c r="E36" i="9" s="1"/>
  <c r="D38" i="9"/>
  <c r="D39" i="9"/>
  <c r="D40" i="9"/>
  <c r="D41" i="9"/>
  <c r="D24" i="9"/>
  <c r="H24" i="9" s="1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53" i="9"/>
  <c r="H2" i="9"/>
  <c r="E26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45" i="9"/>
  <c r="AG20" i="7"/>
  <c r="AG22" i="7"/>
  <c r="AG24" i="7"/>
  <c r="AG26" i="7"/>
  <c r="AG28" i="7"/>
  <c r="AG30" i="7"/>
  <c r="AG32" i="7"/>
  <c r="AG34" i="7"/>
  <c r="AG19" i="7"/>
  <c r="AG21" i="7"/>
  <c r="AG23" i="7"/>
  <c r="AG25" i="7"/>
  <c r="AG27" i="7"/>
  <c r="AG29" i="7"/>
  <c r="AG31" i="7"/>
  <c r="AG33" i="7"/>
  <c r="AG18" i="7"/>
  <c r="AG17" i="7"/>
  <c r="AF13" i="7"/>
  <c r="H17" i="9"/>
  <c r="L16" i="9" s="1"/>
  <c r="H16" i="9"/>
  <c r="F14" i="9"/>
  <c r="H14" i="9"/>
  <c r="H12" i="9"/>
  <c r="H11" i="9"/>
  <c r="H10" i="9"/>
  <c r="F8" i="9"/>
  <c r="F6" i="9"/>
  <c r="H6" i="9"/>
  <c r="H4" i="9"/>
  <c r="H3" i="9"/>
  <c r="E43" i="6"/>
  <c r="E44" i="6"/>
  <c r="H14" i="6"/>
  <c r="H16" i="6"/>
  <c r="E53" i="6"/>
  <c r="E54" i="6"/>
  <c r="E38" i="6"/>
  <c r="H5" i="6"/>
  <c r="H10" i="6"/>
  <c r="H15" i="6"/>
  <c r="B55" i="8"/>
  <c r="C55" i="8" s="1"/>
  <c r="D55" i="8" s="1"/>
  <c r="D54" i="8"/>
  <c r="C54" i="8"/>
  <c r="B54" i="8"/>
  <c r="B53" i="8"/>
  <c r="C53" i="8" s="1"/>
  <c r="D53" i="8" s="1"/>
  <c r="D52" i="8"/>
  <c r="C52" i="8"/>
  <c r="B52" i="8"/>
  <c r="B51" i="8"/>
  <c r="C51" i="8" s="1"/>
  <c r="D51" i="8" s="1"/>
  <c r="D50" i="8"/>
  <c r="C50" i="8"/>
  <c r="B50" i="8"/>
  <c r="B49" i="8"/>
  <c r="C49" i="8" s="1"/>
  <c r="D49" i="8" s="1"/>
  <c r="D48" i="8"/>
  <c r="C48" i="8"/>
  <c r="B48" i="8"/>
  <c r="B47" i="8"/>
  <c r="C47" i="8" s="1"/>
  <c r="D47" i="8" s="1"/>
  <c r="D46" i="8"/>
  <c r="C46" i="8"/>
  <c r="B46" i="8"/>
  <c r="B45" i="8"/>
  <c r="C45" i="8" s="1"/>
  <c r="D45" i="8" s="1"/>
  <c r="D44" i="8"/>
  <c r="C44" i="8"/>
  <c r="B44" i="8"/>
  <c r="B43" i="8"/>
  <c r="C43" i="8" s="1"/>
  <c r="D43" i="8" s="1"/>
  <c r="D42" i="8"/>
  <c r="C42" i="8"/>
  <c r="B42" i="8"/>
  <c r="B41" i="8"/>
  <c r="C41" i="8" s="1"/>
  <c r="D41" i="8" s="1"/>
  <c r="D40" i="8"/>
  <c r="C40" i="8"/>
  <c r="B40" i="8"/>
  <c r="B39" i="8"/>
  <c r="C39" i="8" s="1"/>
  <c r="D39" i="8" s="1"/>
  <c r="D38" i="8"/>
  <c r="C38" i="8"/>
  <c r="B38" i="8"/>
  <c r="E19" i="8"/>
  <c r="E55" i="8" s="1"/>
  <c r="E18" i="8"/>
  <c r="E54" i="8" s="1"/>
  <c r="E17" i="8"/>
  <c r="E53" i="8" s="1"/>
  <c r="E16" i="8"/>
  <c r="H16" i="8" s="1"/>
  <c r="E15" i="8"/>
  <c r="E51" i="8" s="1"/>
  <c r="E14" i="8"/>
  <c r="H14" i="8" s="1"/>
  <c r="E13" i="8"/>
  <c r="H13" i="8" s="1"/>
  <c r="E12" i="8"/>
  <c r="H12" i="8" s="1"/>
  <c r="E11" i="8"/>
  <c r="E47" i="8" s="1"/>
  <c r="E10" i="8"/>
  <c r="E46" i="8" s="1"/>
  <c r="E9" i="8"/>
  <c r="F8" i="8" s="1"/>
  <c r="H8" i="8"/>
  <c r="E8" i="8"/>
  <c r="E44" i="8" s="1"/>
  <c r="E7" i="8"/>
  <c r="E43" i="8" s="1"/>
  <c r="E6" i="8"/>
  <c r="E42" i="8" s="1"/>
  <c r="E5" i="8"/>
  <c r="H5" i="8" s="1"/>
  <c r="E4" i="8"/>
  <c r="E40" i="8" s="1"/>
  <c r="E3" i="8"/>
  <c r="E39" i="8" s="1"/>
  <c r="E2" i="8"/>
  <c r="E38" i="8" s="1"/>
  <c r="AB52" i="7"/>
  <c r="AA52" i="7" s="1"/>
  <c r="Y52" i="7"/>
  <c r="X52" i="7" s="1"/>
  <c r="V52" i="7"/>
  <c r="U52" i="7" s="1"/>
  <c r="S52" i="7"/>
  <c r="R52" i="7" s="1"/>
  <c r="P52" i="7"/>
  <c r="O52" i="7" s="1"/>
  <c r="M52" i="7"/>
  <c r="L52" i="7" s="1"/>
  <c r="J52" i="7"/>
  <c r="I52" i="7" s="1"/>
  <c r="G52" i="7"/>
  <c r="F52" i="7" s="1"/>
  <c r="D52" i="7"/>
  <c r="C52" i="7" s="1"/>
  <c r="AB51" i="7"/>
  <c r="AA51" i="7" s="1"/>
  <c r="Y51" i="7"/>
  <c r="X51" i="7" s="1"/>
  <c r="V51" i="7"/>
  <c r="U51" i="7" s="1"/>
  <c r="S51" i="7"/>
  <c r="R51" i="7" s="1"/>
  <c r="P51" i="7"/>
  <c r="O51" i="7" s="1"/>
  <c r="M51" i="7"/>
  <c r="L51" i="7" s="1"/>
  <c r="J51" i="7"/>
  <c r="I51" i="7" s="1"/>
  <c r="G51" i="7"/>
  <c r="F51" i="7" s="1"/>
  <c r="D51" i="7"/>
  <c r="C51" i="7" s="1"/>
  <c r="AB50" i="7"/>
  <c r="AA50" i="7"/>
  <c r="Y50" i="7"/>
  <c r="X50" i="7" s="1"/>
  <c r="V50" i="7"/>
  <c r="U50" i="7" s="1"/>
  <c r="S50" i="7"/>
  <c r="R50" i="7" s="1"/>
  <c r="P50" i="7"/>
  <c r="O50" i="7" s="1"/>
  <c r="M50" i="7"/>
  <c r="L50" i="7" s="1"/>
  <c r="J50" i="7"/>
  <c r="I50" i="7"/>
  <c r="G50" i="7"/>
  <c r="F50" i="7" s="1"/>
  <c r="D50" i="7"/>
  <c r="C50" i="7" s="1"/>
  <c r="AB49" i="7"/>
  <c r="AA49" i="7" s="1"/>
  <c r="Y49" i="7"/>
  <c r="X49" i="7" s="1"/>
  <c r="V49" i="7"/>
  <c r="U49" i="7"/>
  <c r="S49" i="7"/>
  <c r="R49" i="7" s="1"/>
  <c r="P49" i="7"/>
  <c r="O49" i="7" s="1"/>
  <c r="M49" i="7"/>
  <c r="L49" i="7"/>
  <c r="J49" i="7"/>
  <c r="I49" i="7" s="1"/>
  <c r="G49" i="7"/>
  <c r="F49" i="7" s="1"/>
  <c r="D49" i="7"/>
  <c r="C49" i="7" s="1"/>
  <c r="AB48" i="7"/>
  <c r="AA48" i="7" s="1"/>
  <c r="Y48" i="7"/>
  <c r="X48" i="7"/>
  <c r="V48" i="7"/>
  <c r="U48" i="7" s="1"/>
  <c r="S48" i="7"/>
  <c r="R48" i="7"/>
  <c r="P48" i="7"/>
  <c r="O48" i="7" s="1"/>
  <c r="M48" i="7"/>
  <c r="L48" i="7" s="1"/>
  <c r="J48" i="7"/>
  <c r="I48" i="7" s="1"/>
  <c r="G48" i="7"/>
  <c r="F48" i="7"/>
  <c r="D48" i="7"/>
  <c r="C48" i="7" s="1"/>
  <c r="AB47" i="7"/>
  <c r="AA47" i="7" s="1"/>
  <c r="Y47" i="7"/>
  <c r="X47" i="7" s="1"/>
  <c r="V47" i="7"/>
  <c r="U47" i="7" s="1"/>
  <c r="S47" i="7"/>
  <c r="R47" i="7"/>
  <c r="P47" i="7"/>
  <c r="O47" i="7"/>
  <c r="M47" i="7"/>
  <c r="L47" i="7" s="1"/>
  <c r="J47" i="7"/>
  <c r="I47" i="7" s="1"/>
  <c r="G47" i="7"/>
  <c r="F47" i="7" s="1"/>
  <c r="D47" i="7"/>
  <c r="C47" i="7"/>
  <c r="AB46" i="7"/>
  <c r="AA46" i="7" s="1"/>
  <c r="Y46" i="7"/>
  <c r="X46" i="7" s="1"/>
  <c r="V46" i="7"/>
  <c r="U46" i="7" s="1"/>
  <c r="S46" i="7"/>
  <c r="R46" i="7" s="1"/>
  <c r="P46" i="7"/>
  <c r="O46" i="7"/>
  <c r="M46" i="7"/>
  <c r="L46" i="7" s="1"/>
  <c r="J46" i="7"/>
  <c r="I46" i="7" s="1"/>
  <c r="G46" i="7"/>
  <c r="F46" i="7" s="1"/>
  <c r="D46" i="7"/>
  <c r="C46" i="7" s="1"/>
  <c r="AB45" i="7"/>
  <c r="AA45" i="7" s="1"/>
  <c r="Y45" i="7"/>
  <c r="X45" i="7"/>
  <c r="V45" i="7"/>
  <c r="U45" i="7" s="1"/>
  <c r="S45" i="7"/>
  <c r="R45" i="7" s="1"/>
  <c r="P45" i="7"/>
  <c r="O45" i="7" s="1"/>
  <c r="M45" i="7"/>
  <c r="L45" i="7" s="1"/>
  <c r="J45" i="7"/>
  <c r="I45" i="7" s="1"/>
  <c r="G45" i="7"/>
  <c r="F45" i="7" s="1"/>
  <c r="D45" i="7"/>
  <c r="C45" i="7" s="1"/>
  <c r="AB44" i="7"/>
  <c r="AA44" i="7" s="1"/>
  <c r="Y44" i="7"/>
  <c r="X44" i="7" s="1"/>
  <c r="V44" i="7"/>
  <c r="U44" i="7" s="1"/>
  <c r="S44" i="7"/>
  <c r="R44" i="7" s="1"/>
  <c r="P44" i="7"/>
  <c r="O44" i="7" s="1"/>
  <c r="M44" i="7"/>
  <c r="L44" i="7" s="1"/>
  <c r="J44" i="7"/>
  <c r="I44" i="7" s="1"/>
  <c r="G44" i="7"/>
  <c r="F44" i="7" s="1"/>
  <c r="D44" i="7"/>
  <c r="C44" i="7" s="1"/>
  <c r="AB43" i="7"/>
  <c r="AA43" i="7" s="1"/>
  <c r="Y43" i="7"/>
  <c r="X43" i="7" s="1"/>
  <c r="V43" i="7"/>
  <c r="U43" i="7"/>
  <c r="S43" i="7"/>
  <c r="R43" i="7"/>
  <c r="P43" i="7"/>
  <c r="O43" i="7" s="1"/>
  <c r="M43" i="7"/>
  <c r="L43" i="7" s="1"/>
  <c r="J43" i="7"/>
  <c r="I43" i="7" s="1"/>
  <c r="G43" i="7"/>
  <c r="F43" i="7"/>
  <c r="D43" i="7"/>
  <c r="C43" i="7" s="1"/>
  <c r="AB42" i="7"/>
  <c r="AA42" i="7" s="1"/>
  <c r="Y42" i="7"/>
  <c r="X42" i="7" s="1"/>
  <c r="V42" i="7"/>
  <c r="U42" i="7" s="1"/>
  <c r="S42" i="7"/>
  <c r="R42" i="7" s="1"/>
  <c r="P42" i="7"/>
  <c r="O42" i="7" s="1"/>
  <c r="M42" i="7"/>
  <c r="L42" i="7" s="1"/>
  <c r="J42" i="7"/>
  <c r="I42" i="7" s="1"/>
  <c r="G42" i="7"/>
  <c r="F42" i="7" s="1"/>
  <c r="D42" i="7"/>
  <c r="C42" i="7" s="1"/>
  <c r="AB41" i="7"/>
  <c r="AA41" i="7" s="1"/>
  <c r="Y41" i="7"/>
  <c r="X41" i="7" s="1"/>
  <c r="V41" i="7"/>
  <c r="U41" i="7" s="1"/>
  <c r="S41" i="7"/>
  <c r="R41" i="7" s="1"/>
  <c r="P41" i="7"/>
  <c r="O41" i="7"/>
  <c r="M41" i="7"/>
  <c r="L41" i="7" s="1"/>
  <c r="J41" i="7"/>
  <c r="I41" i="7" s="1"/>
  <c r="G41" i="7"/>
  <c r="F41" i="7" s="1"/>
  <c r="D41" i="7"/>
  <c r="C41" i="7" s="1"/>
  <c r="AB40" i="7"/>
  <c r="AA40" i="7" s="1"/>
  <c r="Y40" i="7"/>
  <c r="X40" i="7"/>
  <c r="V40" i="7"/>
  <c r="U40" i="7" s="1"/>
  <c r="S40" i="7"/>
  <c r="R40" i="7" s="1"/>
  <c r="P40" i="7"/>
  <c r="O40" i="7" s="1"/>
  <c r="M40" i="7"/>
  <c r="L40" i="7" s="1"/>
  <c r="J40" i="7"/>
  <c r="I40" i="7" s="1"/>
  <c r="G40" i="7"/>
  <c r="F40" i="7"/>
  <c r="D40" i="7"/>
  <c r="C40" i="7" s="1"/>
  <c r="AB39" i="7"/>
  <c r="AA39" i="7" s="1"/>
  <c r="Y39" i="7"/>
  <c r="X39" i="7" s="1"/>
  <c r="V39" i="7"/>
  <c r="U39" i="7"/>
  <c r="S39" i="7"/>
  <c r="R39" i="7" s="1"/>
  <c r="P39" i="7"/>
  <c r="O39" i="7"/>
  <c r="M39" i="7"/>
  <c r="L39" i="7" s="1"/>
  <c r="J39" i="7"/>
  <c r="I39" i="7" s="1"/>
  <c r="G39" i="7"/>
  <c r="F39" i="7" s="1"/>
  <c r="D39" i="7"/>
  <c r="C39" i="7"/>
  <c r="AB38" i="7"/>
  <c r="AA38" i="7"/>
  <c r="Y38" i="7"/>
  <c r="X38" i="7" s="1"/>
  <c r="V38" i="7"/>
  <c r="U38" i="7" s="1"/>
  <c r="S38" i="7"/>
  <c r="R38" i="7" s="1"/>
  <c r="P38" i="7"/>
  <c r="O38" i="7"/>
  <c r="M38" i="7"/>
  <c r="L38" i="7"/>
  <c r="J38" i="7"/>
  <c r="I38" i="7" s="1"/>
  <c r="G38" i="7"/>
  <c r="F38" i="7" s="1"/>
  <c r="D38" i="7"/>
  <c r="C38" i="7" s="1"/>
  <c r="AB37" i="7"/>
  <c r="AA37" i="7" s="1"/>
  <c r="Y37" i="7"/>
  <c r="X37" i="7" s="1"/>
  <c r="V37" i="7"/>
  <c r="U37" i="7" s="1"/>
  <c r="S37" i="7"/>
  <c r="R37" i="7" s="1"/>
  <c r="P37" i="7"/>
  <c r="M37" i="7"/>
  <c r="L37" i="7" s="1"/>
  <c r="J37" i="7"/>
  <c r="I37" i="7" s="1"/>
  <c r="G37" i="7"/>
  <c r="F37" i="7" s="1"/>
  <c r="D37" i="7"/>
  <c r="C37" i="7" s="1"/>
  <c r="AB36" i="7"/>
  <c r="AA36" i="7"/>
  <c r="Y36" i="7"/>
  <c r="V36" i="7"/>
  <c r="U36" i="7" s="1"/>
  <c r="S36" i="7"/>
  <c r="R36" i="7" s="1"/>
  <c r="P36" i="7"/>
  <c r="O36" i="7" s="1"/>
  <c r="M36" i="7"/>
  <c r="L36" i="7" s="1"/>
  <c r="J36" i="7"/>
  <c r="I36" i="7"/>
  <c r="G36" i="7"/>
  <c r="F36" i="7" s="1"/>
  <c r="D36" i="7"/>
  <c r="C36" i="7" s="1"/>
  <c r="AB35" i="7"/>
  <c r="AA35" i="7" s="1"/>
  <c r="Y35" i="7"/>
  <c r="X35" i="7" s="1"/>
  <c r="V35" i="7"/>
  <c r="U35" i="7" s="1"/>
  <c r="S35" i="7"/>
  <c r="R35" i="7"/>
  <c r="P35" i="7"/>
  <c r="O35" i="7" s="1"/>
  <c r="M35" i="7"/>
  <c r="L35" i="7" s="1"/>
  <c r="J35" i="7"/>
  <c r="I35" i="7" s="1"/>
  <c r="G35" i="7"/>
  <c r="F35" i="7"/>
  <c r="D35" i="7"/>
  <c r="C35" i="7" s="1"/>
  <c r="AB34" i="7"/>
  <c r="AA34" i="7"/>
  <c r="Y34" i="7"/>
  <c r="X34" i="7" s="1"/>
  <c r="V34" i="7"/>
  <c r="U34" i="7" s="1"/>
  <c r="S34" i="7"/>
  <c r="R34" i="7"/>
  <c r="P34" i="7"/>
  <c r="O34" i="7" s="1"/>
  <c r="M34" i="7"/>
  <c r="L34" i="7" s="1"/>
  <c r="J34" i="7"/>
  <c r="I34" i="7" s="1"/>
  <c r="G34" i="7"/>
  <c r="F34" i="7" s="1"/>
  <c r="D34" i="7"/>
  <c r="C34" i="7" s="1"/>
  <c r="AB33" i="7"/>
  <c r="AA33" i="7"/>
  <c r="Y33" i="7"/>
  <c r="X33" i="7" s="1"/>
  <c r="V33" i="7"/>
  <c r="U33" i="7" s="1"/>
  <c r="S33" i="7"/>
  <c r="R33" i="7" s="1"/>
  <c r="P33" i="7"/>
  <c r="O33" i="7"/>
  <c r="M33" i="7"/>
  <c r="L33" i="7" s="1"/>
  <c r="J33" i="7"/>
  <c r="I33" i="7"/>
  <c r="G33" i="7"/>
  <c r="F33" i="7" s="1"/>
  <c r="D33" i="7"/>
  <c r="C33" i="7" s="1"/>
  <c r="AB32" i="7"/>
  <c r="AA32" i="7" s="1"/>
  <c r="Y32" i="7"/>
  <c r="X32" i="7" s="1"/>
  <c r="V32" i="7"/>
  <c r="U32" i="7" s="1"/>
  <c r="S32" i="7"/>
  <c r="R32" i="7" s="1"/>
  <c r="P32" i="7"/>
  <c r="O32" i="7"/>
  <c r="M32" i="7"/>
  <c r="L32" i="7" s="1"/>
  <c r="J32" i="7"/>
  <c r="I32" i="7" s="1"/>
  <c r="G32" i="7"/>
  <c r="F32" i="7" s="1"/>
  <c r="D32" i="7"/>
  <c r="C32" i="7" s="1"/>
  <c r="AB31" i="7"/>
  <c r="Y31" i="7"/>
  <c r="X31" i="7"/>
  <c r="V31" i="7"/>
  <c r="U31" i="7" s="1"/>
  <c r="S31" i="7"/>
  <c r="R31" i="7" s="1"/>
  <c r="P31" i="7"/>
  <c r="O31" i="7" s="1"/>
  <c r="M31" i="7"/>
  <c r="L31" i="7"/>
  <c r="J31" i="7"/>
  <c r="I31" i="7" s="1"/>
  <c r="G31" i="7"/>
  <c r="F31" i="7"/>
  <c r="D31" i="7"/>
  <c r="C31" i="7" s="1"/>
  <c r="AB30" i="7"/>
  <c r="AA30" i="7" s="1"/>
  <c r="Y30" i="7"/>
  <c r="X30" i="7" s="1"/>
  <c r="V30" i="7"/>
  <c r="U30" i="7"/>
  <c r="S30" i="7"/>
  <c r="R30" i="7" s="1"/>
  <c r="P30" i="7"/>
  <c r="O30" i="7" s="1"/>
  <c r="M30" i="7"/>
  <c r="L30" i="7" s="1"/>
  <c r="J30" i="7"/>
  <c r="I30" i="7"/>
  <c r="G30" i="7"/>
  <c r="F30" i="7" s="1"/>
  <c r="D30" i="7"/>
  <c r="C30" i="7"/>
  <c r="AB29" i="7"/>
  <c r="AA29" i="7" s="1"/>
  <c r="Y29" i="7"/>
  <c r="V29" i="7"/>
  <c r="U29" i="7" s="1"/>
  <c r="S29" i="7"/>
  <c r="R29" i="7" s="1"/>
  <c r="P29" i="7"/>
  <c r="O29" i="7"/>
  <c r="M29" i="7"/>
  <c r="L29" i="7" s="1"/>
  <c r="J29" i="7"/>
  <c r="I29" i="7" s="1"/>
  <c r="G29" i="7"/>
  <c r="F29" i="7" s="1"/>
  <c r="D29" i="7"/>
  <c r="C29" i="7" s="1"/>
  <c r="AB28" i="7"/>
  <c r="AA28" i="7" s="1"/>
  <c r="Y28" i="7"/>
  <c r="X28" i="7" s="1"/>
  <c r="V28" i="7"/>
  <c r="U28" i="7" s="1"/>
  <c r="S28" i="7"/>
  <c r="R28" i="7" s="1"/>
  <c r="P28" i="7"/>
  <c r="O28" i="7" s="1"/>
  <c r="M28" i="7"/>
  <c r="L28" i="7" s="1"/>
  <c r="J28" i="7"/>
  <c r="G28" i="7"/>
  <c r="F28" i="7"/>
  <c r="D28" i="7"/>
  <c r="C28" i="7" s="1"/>
  <c r="B55" i="6"/>
  <c r="C55" i="6" s="1"/>
  <c r="D55" i="6" s="1"/>
  <c r="C54" i="6"/>
  <c r="D54" i="6" s="1"/>
  <c r="B54" i="6"/>
  <c r="B53" i="6"/>
  <c r="C53" i="6" s="1"/>
  <c r="D53" i="6" s="1"/>
  <c r="C52" i="6"/>
  <c r="D52" i="6" s="1"/>
  <c r="B52" i="6"/>
  <c r="B51" i="6"/>
  <c r="C51" i="6" s="1"/>
  <c r="D51" i="6" s="1"/>
  <c r="C50" i="6"/>
  <c r="D50" i="6" s="1"/>
  <c r="B50" i="6"/>
  <c r="B49" i="6"/>
  <c r="C49" i="6" s="1"/>
  <c r="D49" i="6" s="1"/>
  <c r="C48" i="6"/>
  <c r="D48" i="6" s="1"/>
  <c r="B48" i="6"/>
  <c r="B47" i="6"/>
  <c r="C47" i="6" s="1"/>
  <c r="D47" i="6" s="1"/>
  <c r="C46" i="6"/>
  <c r="D46" i="6" s="1"/>
  <c r="B46" i="6"/>
  <c r="B45" i="6"/>
  <c r="C45" i="6" s="1"/>
  <c r="D45" i="6" s="1"/>
  <c r="C44" i="6"/>
  <c r="D44" i="6" s="1"/>
  <c r="B44" i="6"/>
  <c r="B43" i="6"/>
  <c r="C43" i="6" s="1"/>
  <c r="D43" i="6" s="1"/>
  <c r="C42" i="6"/>
  <c r="D42" i="6" s="1"/>
  <c r="B42" i="6"/>
  <c r="B41" i="6"/>
  <c r="C41" i="6" s="1"/>
  <c r="D41" i="6" s="1"/>
  <c r="C40" i="6"/>
  <c r="D40" i="6" s="1"/>
  <c r="B40" i="6"/>
  <c r="B39" i="6"/>
  <c r="C39" i="6" s="1"/>
  <c r="D39" i="6" s="1"/>
  <c r="C38" i="6"/>
  <c r="D38" i="6" s="1"/>
  <c r="B38" i="6"/>
  <c r="E55" i="6"/>
  <c r="E49" i="6"/>
  <c r="E48" i="6"/>
  <c r="H4" i="6"/>
  <c r="E39" i="6"/>
  <c r="J59" i="3" l="1"/>
  <c r="J67" i="3"/>
  <c r="J71" i="3"/>
  <c r="J61" i="3"/>
  <c r="J75" i="3"/>
  <c r="J69" i="3"/>
  <c r="J63" i="3"/>
  <c r="J73" i="3"/>
  <c r="J65" i="3"/>
  <c r="J18" i="3"/>
  <c r="K38" i="3"/>
  <c r="L38" i="3" s="1"/>
  <c r="L3" i="9"/>
  <c r="L2" i="9"/>
  <c r="J12" i="3"/>
  <c r="J4" i="3"/>
  <c r="K30" i="3"/>
  <c r="L30" i="3" s="1"/>
  <c r="L10" i="9"/>
  <c r="M10" i="9" s="1"/>
  <c r="L11" i="9"/>
  <c r="M16" i="9"/>
  <c r="I36" i="9"/>
  <c r="J36" i="9" s="1"/>
  <c r="E34" i="9"/>
  <c r="H9" i="9"/>
  <c r="L8" i="9" s="1"/>
  <c r="F16" i="9"/>
  <c r="E38" i="9"/>
  <c r="E24" i="9"/>
  <c r="I28" i="9"/>
  <c r="J28" i="9" s="1"/>
  <c r="E40" i="9"/>
  <c r="E28" i="9"/>
  <c r="E30" i="9"/>
  <c r="E32" i="9"/>
  <c r="I32" i="9"/>
  <c r="J32" i="9" s="1"/>
  <c r="I38" i="9"/>
  <c r="J38" i="9" s="1"/>
  <c r="I24" i="9"/>
  <c r="J24" i="9" s="1"/>
  <c r="I34" i="9"/>
  <c r="J34" i="9" s="1"/>
  <c r="I40" i="9"/>
  <c r="J40" i="9" s="1"/>
  <c r="I30" i="9"/>
  <c r="J30" i="9" s="1"/>
  <c r="F2" i="9"/>
  <c r="M2" i="9"/>
  <c r="F4" i="9"/>
  <c r="H7" i="9"/>
  <c r="L6" i="9" s="1"/>
  <c r="I16" i="9"/>
  <c r="J16" i="9" s="1"/>
  <c r="H18" i="9"/>
  <c r="L17" i="9" s="1"/>
  <c r="H8" i="9"/>
  <c r="L7" i="9" s="1"/>
  <c r="F10" i="9"/>
  <c r="H13" i="9"/>
  <c r="L13" i="9" s="1"/>
  <c r="F12" i="9"/>
  <c r="H15" i="9"/>
  <c r="L14" i="9" s="1"/>
  <c r="I10" i="9"/>
  <c r="J10" i="9" s="1"/>
  <c r="H19" i="9"/>
  <c r="H5" i="9"/>
  <c r="F18" i="9"/>
  <c r="AL38" i="7"/>
  <c r="AL43" i="7" s="1"/>
  <c r="AF59" i="7" s="1"/>
  <c r="AL37" i="7"/>
  <c r="AL42" i="7" s="1"/>
  <c r="AF58" i="7" s="1"/>
  <c r="AH37" i="7"/>
  <c r="AH42" i="7" s="1"/>
  <c r="AF50" i="7" s="1"/>
  <c r="AI9" i="7"/>
  <c r="AI14" i="7" s="1"/>
  <c r="AF24" i="7" s="1"/>
  <c r="AF9" i="7"/>
  <c r="AF14" i="7" s="1"/>
  <c r="AF18" i="7" s="1"/>
  <c r="AK37" i="7"/>
  <c r="AK42" i="7" s="1"/>
  <c r="AF56" i="7" s="1"/>
  <c r="AN37" i="7"/>
  <c r="AN42" i="7" s="1"/>
  <c r="AF62" i="7" s="1"/>
  <c r="AF38" i="7"/>
  <c r="AF43" i="7" s="1"/>
  <c r="AF47" i="7" s="1"/>
  <c r="AJ38" i="7"/>
  <c r="AJ43" i="7" s="1"/>
  <c r="AF55" i="7" s="1"/>
  <c r="AH38" i="7"/>
  <c r="AH43" i="7" s="1"/>
  <c r="AF51" i="7" s="1"/>
  <c r="AL9" i="7"/>
  <c r="AL14" i="7" s="1"/>
  <c r="AF30" i="7" s="1"/>
  <c r="AJ8" i="7"/>
  <c r="AJ13" i="7" s="1"/>
  <c r="AF25" i="7" s="1"/>
  <c r="AG8" i="7"/>
  <c r="AG13" i="7" s="1"/>
  <c r="AF19" i="7" s="1"/>
  <c r="AG37" i="7"/>
  <c r="AG42" i="7" s="1"/>
  <c r="AF48" i="7" s="1"/>
  <c r="AM37" i="7"/>
  <c r="AM42" i="7" s="1"/>
  <c r="AF60" i="7" s="1"/>
  <c r="AI38" i="7"/>
  <c r="AI43" i="7" s="1"/>
  <c r="AF53" i="7" s="1"/>
  <c r="AM38" i="7"/>
  <c r="AM43" i="7" s="1"/>
  <c r="AF61" i="7" s="1"/>
  <c r="I28" i="7"/>
  <c r="AH8" i="7" s="1"/>
  <c r="AH13" i="7" s="1"/>
  <c r="AF21" i="7" s="1"/>
  <c r="F10" i="8"/>
  <c r="H6" i="8"/>
  <c r="H10" i="8"/>
  <c r="H11" i="8"/>
  <c r="L10" i="8" s="1"/>
  <c r="M10" i="8" s="1"/>
  <c r="C27" i="8" s="1"/>
  <c r="E49" i="8"/>
  <c r="E41" i="8"/>
  <c r="E45" i="8"/>
  <c r="I12" i="8"/>
  <c r="J12" i="8" s="1"/>
  <c r="H15" i="8"/>
  <c r="F2" i="8"/>
  <c r="H2" i="8"/>
  <c r="F4" i="8"/>
  <c r="H7" i="8"/>
  <c r="L12" i="8"/>
  <c r="M12" i="8" s="1"/>
  <c r="C28" i="8" s="1"/>
  <c r="H18" i="8"/>
  <c r="H4" i="8"/>
  <c r="L4" i="8" s="1"/>
  <c r="M4" i="8" s="1"/>
  <c r="C24" i="8" s="1"/>
  <c r="F6" i="8"/>
  <c r="H9" i="8"/>
  <c r="E48" i="8"/>
  <c r="E50" i="8"/>
  <c r="E52" i="8"/>
  <c r="F12" i="8"/>
  <c r="F14" i="8"/>
  <c r="H17" i="8"/>
  <c r="H3" i="8"/>
  <c r="F16" i="8"/>
  <c r="H19" i="8"/>
  <c r="F18" i="8"/>
  <c r="AG9" i="7"/>
  <c r="AG14" i="7" s="1"/>
  <c r="AF20" i="7" s="1"/>
  <c r="AL8" i="7"/>
  <c r="AL13" i="7" s="1"/>
  <c r="AF29" i="7" s="1"/>
  <c r="AN9" i="7"/>
  <c r="AN14" i="7" s="1"/>
  <c r="AF34" i="7" s="1"/>
  <c r="AF8" i="7"/>
  <c r="AK8" i="7"/>
  <c r="AK13" i="7" s="1"/>
  <c r="AF27" i="7" s="1"/>
  <c r="AK9" i="7"/>
  <c r="AK14" i="7" s="1"/>
  <c r="AF28" i="7" s="1"/>
  <c r="AH9" i="7"/>
  <c r="AH14" i="7" s="1"/>
  <c r="AF22" i="7" s="1"/>
  <c r="AI8" i="7"/>
  <c r="AI13" i="7" s="1"/>
  <c r="AF23" i="7" s="1"/>
  <c r="AN38" i="7"/>
  <c r="AN43" i="7" s="1"/>
  <c r="AF63" i="7" s="1"/>
  <c r="AJ37" i="7"/>
  <c r="AJ42" i="7" s="1"/>
  <c r="AF54" i="7" s="1"/>
  <c r="AG38" i="7"/>
  <c r="AG43" i="7" s="1"/>
  <c r="AF49" i="7" s="1"/>
  <c r="AF37" i="7"/>
  <c r="AF42" i="7" s="1"/>
  <c r="AF46" i="7" s="1"/>
  <c r="AK38" i="7"/>
  <c r="AK43" i="7" s="1"/>
  <c r="AF57" i="7" s="1"/>
  <c r="AI37" i="7"/>
  <c r="AI42" i="7" s="1"/>
  <c r="AF52" i="7" s="1"/>
  <c r="X29" i="7"/>
  <c r="AM8" i="7" s="1"/>
  <c r="AM13" i="7" s="1"/>
  <c r="AF31" i="7" s="1"/>
  <c r="AA31" i="7"/>
  <c r="AN8" i="7" s="1"/>
  <c r="AN13" i="7" s="1"/>
  <c r="AF33" i="7" s="1"/>
  <c r="O37" i="7"/>
  <c r="AJ9" i="7" s="1"/>
  <c r="AJ14" i="7" s="1"/>
  <c r="AF26" i="7" s="1"/>
  <c r="X36" i="7"/>
  <c r="AM9" i="7" s="1"/>
  <c r="AM14" i="7" s="1"/>
  <c r="AF32" i="7" s="1"/>
  <c r="F6" i="6"/>
  <c r="H7" i="6"/>
  <c r="H12" i="6"/>
  <c r="H17" i="6"/>
  <c r="L16" i="6" s="1"/>
  <c r="M16" i="6" s="1"/>
  <c r="C30" i="6" s="1"/>
  <c r="F12" i="6"/>
  <c r="F4" i="6"/>
  <c r="F14" i="6"/>
  <c r="F2" i="6"/>
  <c r="H2" i="6"/>
  <c r="E45" i="6"/>
  <c r="E46" i="6"/>
  <c r="E41" i="6"/>
  <c r="E51" i="6"/>
  <c r="L4" i="6"/>
  <c r="M4" i="6" s="1"/>
  <c r="C24" i="6" s="1"/>
  <c r="E47" i="6"/>
  <c r="I14" i="6"/>
  <c r="J14" i="6" s="1"/>
  <c r="H18" i="6"/>
  <c r="L14" i="6"/>
  <c r="M14" i="6" s="1"/>
  <c r="C29" i="6" s="1"/>
  <c r="H9" i="6"/>
  <c r="I4" i="6"/>
  <c r="J4" i="6" s="1"/>
  <c r="H6" i="6"/>
  <c r="L6" i="6" s="1"/>
  <c r="M6" i="6" s="1"/>
  <c r="C25" i="6" s="1"/>
  <c r="F8" i="6"/>
  <c r="H11" i="6"/>
  <c r="H8" i="6"/>
  <c r="F10" i="6"/>
  <c r="H13" i="6"/>
  <c r="E40" i="6"/>
  <c r="E42" i="6"/>
  <c r="E50" i="6"/>
  <c r="E52" i="6"/>
  <c r="H3" i="6"/>
  <c r="F16" i="6"/>
  <c r="H19" i="6"/>
  <c r="F18" i="6"/>
  <c r="L12" i="9" l="1"/>
  <c r="L9" i="9"/>
  <c r="L18" i="9"/>
  <c r="M18" i="9" s="1"/>
  <c r="M22" i="9" s="1"/>
  <c r="L19" i="9"/>
  <c r="L15" i="9"/>
  <c r="L4" i="9"/>
  <c r="M4" i="9" s="1"/>
  <c r="L5" i="9"/>
  <c r="M8" i="9"/>
  <c r="AF17" i="7"/>
  <c r="I18" i="9"/>
  <c r="J18" i="9" s="1"/>
  <c r="M12" i="9"/>
  <c r="I12" i="9"/>
  <c r="J12" i="9" s="1"/>
  <c r="I4" i="9"/>
  <c r="J4" i="9" s="1"/>
  <c r="I2" i="9"/>
  <c r="J2" i="9" s="1"/>
  <c r="I8" i="9"/>
  <c r="J8" i="9" s="1"/>
  <c r="M6" i="9"/>
  <c r="I6" i="9"/>
  <c r="J6" i="9" s="1"/>
  <c r="I14" i="9"/>
  <c r="J14" i="9" s="1"/>
  <c r="M14" i="9"/>
  <c r="I10" i="8"/>
  <c r="J10" i="8" s="1"/>
  <c r="L18" i="8"/>
  <c r="M18" i="8" s="1"/>
  <c r="C31" i="8" s="1"/>
  <c r="I18" i="8"/>
  <c r="J18" i="8" s="1"/>
  <c r="L2" i="8"/>
  <c r="M2" i="8" s="1"/>
  <c r="C23" i="8" s="1"/>
  <c r="I2" i="8"/>
  <c r="J2" i="8" s="1"/>
  <c r="I14" i="8"/>
  <c r="J14" i="8" s="1"/>
  <c r="L14" i="8"/>
  <c r="M14" i="8" s="1"/>
  <c r="C29" i="8" s="1"/>
  <c r="L16" i="8"/>
  <c r="M16" i="8" s="1"/>
  <c r="C30" i="8" s="1"/>
  <c r="I16" i="8"/>
  <c r="J16" i="8" s="1"/>
  <c r="I4" i="8"/>
  <c r="J4" i="8" s="1"/>
  <c r="L6" i="8"/>
  <c r="M6" i="8" s="1"/>
  <c r="C25" i="8" s="1"/>
  <c r="I6" i="8"/>
  <c r="J6" i="8" s="1"/>
  <c r="L8" i="8"/>
  <c r="M8" i="8" s="1"/>
  <c r="C26" i="8" s="1"/>
  <c r="I8" i="8"/>
  <c r="J8" i="8" s="1"/>
  <c r="I16" i="6"/>
  <c r="J16" i="6" s="1"/>
  <c r="L18" i="6"/>
  <c r="M18" i="6" s="1"/>
  <c r="C31" i="6" s="1"/>
  <c r="I18" i="6"/>
  <c r="J18" i="6" s="1"/>
  <c r="L10" i="6"/>
  <c r="M10" i="6" s="1"/>
  <c r="C27" i="6" s="1"/>
  <c r="I10" i="6"/>
  <c r="J10" i="6" s="1"/>
  <c r="L8" i="6"/>
  <c r="M8" i="6" s="1"/>
  <c r="C26" i="6" s="1"/>
  <c r="I8" i="6"/>
  <c r="J8" i="6" s="1"/>
  <c r="I12" i="6"/>
  <c r="J12" i="6" s="1"/>
  <c r="L12" i="6"/>
  <c r="M12" i="6" s="1"/>
  <c r="C28" i="6" s="1"/>
  <c r="L2" i="6"/>
  <c r="M2" i="6" s="1"/>
  <c r="C23" i="6" s="1"/>
  <c r="I2" i="6"/>
  <c r="J2" i="6" s="1"/>
  <c r="I6" i="6"/>
  <c r="J6" i="6" s="1"/>
  <c r="F6" i="3" l="1"/>
  <c r="F8" i="3"/>
  <c r="F10" i="3"/>
  <c r="F16" i="3"/>
  <c r="F18" i="3"/>
  <c r="F2" i="3"/>
  <c r="F4" i="3"/>
  <c r="F12" i="3"/>
  <c r="F14" i="3"/>
  <c r="M9" i="2"/>
  <c r="M8" i="2"/>
  <c r="C54" i="3"/>
  <c r="D54" i="3" s="1"/>
  <c r="C52" i="3"/>
  <c r="D52" i="3" s="1"/>
  <c r="C50" i="3"/>
  <c r="D50" i="3" s="1"/>
  <c r="E50" i="3" s="1"/>
  <c r="C48" i="3"/>
  <c r="D48" i="3" s="1"/>
  <c r="E48" i="3" s="1"/>
  <c r="C46" i="3"/>
  <c r="D46" i="3" s="1"/>
  <c r="C44" i="3"/>
  <c r="D44" i="3" s="1"/>
  <c r="C42" i="3"/>
  <c r="D42" i="3" s="1"/>
  <c r="C40" i="3"/>
  <c r="D40" i="3" s="1"/>
  <c r="E40" i="3" s="1"/>
  <c r="C38" i="3"/>
  <c r="D38" i="3" s="1"/>
  <c r="E46" i="3" l="1"/>
  <c r="E52" i="3"/>
  <c r="E54" i="3"/>
  <c r="E42" i="3"/>
  <c r="E44" i="3"/>
  <c r="E38" i="3"/>
  <c r="B39" i="3"/>
  <c r="C39" i="3" s="1"/>
  <c r="D39" i="3" s="1"/>
  <c r="E39" i="3" s="1"/>
  <c r="B40" i="3"/>
  <c r="B41" i="3"/>
  <c r="C41" i="3" s="1"/>
  <c r="D41" i="3" s="1"/>
  <c r="E41" i="3" s="1"/>
  <c r="B42" i="3"/>
  <c r="B43" i="3"/>
  <c r="C43" i="3" s="1"/>
  <c r="D43" i="3" s="1"/>
  <c r="E43" i="3" s="1"/>
  <c r="B44" i="3"/>
  <c r="B45" i="3"/>
  <c r="C45" i="3" s="1"/>
  <c r="D45" i="3" s="1"/>
  <c r="E45" i="3" s="1"/>
  <c r="B46" i="3"/>
  <c r="B47" i="3"/>
  <c r="C47" i="3" s="1"/>
  <c r="D47" i="3" s="1"/>
  <c r="E47" i="3" s="1"/>
  <c r="B48" i="3"/>
  <c r="B49" i="3"/>
  <c r="C49" i="3" s="1"/>
  <c r="D49" i="3" s="1"/>
  <c r="E49" i="3" s="1"/>
  <c r="B50" i="3"/>
  <c r="B51" i="3"/>
  <c r="C51" i="3" s="1"/>
  <c r="D51" i="3" s="1"/>
  <c r="E51" i="3" s="1"/>
  <c r="B52" i="3"/>
  <c r="B53" i="3"/>
  <c r="C53" i="3" s="1"/>
  <c r="D53" i="3" s="1"/>
  <c r="E53" i="3" s="1"/>
  <c r="B54" i="3"/>
  <c r="B55" i="3"/>
  <c r="C55" i="3" s="1"/>
  <c r="D55" i="3" s="1"/>
  <c r="E55" i="3" s="1"/>
  <c r="B38" i="3"/>
  <c r="U9" i="2"/>
  <c r="U8" i="2"/>
  <c r="T9" i="2"/>
  <c r="T8" i="2"/>
  <c r="S9" i="2"/>
  <c r="S8" i="2"/>
  <c r="R9" i="2"/>
  <c r="R8" i="2"/>
  <c r="Q9" i="2"/>
  <c r="Q8" i="2"/>
  <c r="P9" i="2"/>
  <c r="P8" i="2"/>
  <c r="O9" i="2"/>
  <c r="O8" i="2"/>
  <c r="N9" i="2"/>
  <c r="N8" i="2"/>
  <c r="C25" i="3" l="1"/>
  <c r="C23" i="3"/>
  <c r="C27" i="3"/>
  <c r="C28" i="3"/>
  <c r="C31" i="3"/>
  <c r="C24" i="3"/>
  <c r="C30" i="3"/>
  <c r="C29" i="3"/>
  <c r="C26" i="3"/>
  <c r="N13" i="2"/>
  <c r="O13" i="2"/>
  <c r="J29" i="2"/>
  <c r="J30" i="2"/>
  <c r="U13" i="2" s="1"/>
  <c r="J31" i="2"/>
  <c r="J32" i="2"/>
  <c r="J33" i="2"/>
  <c r="J34" i="2"/>
  <c r="U14" i="2" s="1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I29" i="2"/>
  <c r="I30" i="2"/>
  <c r="I31" i="2"/>
  <c r="I32" i="2"/>
  <c r="I33" i="2"/>
  <c r="T14" i="2" s="1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H29" i="2"/>
  <c r="H30" i="2"/>
  <c r="H31" i="2"/>
  <c r="H32" i="2"/>
  <c r="H33" i="2"/>
  <c r="S14" i="2" s="1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G29" i="2"/>
  <c r="G30" i="2"/>
  <c r="G31" i="2"/>
  <c r="G32" i="2"/>
  <c r="G33" i="2"/>
  <c r="G34" i="2"/>
  <c r="G35" i="2"/>
  <c r="G36" i="2"/>
  <c r="G37" i="2"/>
  <c r="G38" i="2"/>
  <c r="G39" i="2"/>
  <c r="R14" i="2" s="1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F29" i="2"/>
  <c r="F30" i="2"/>
  <c r="Q13" i="2" s="1"/>
  <c r="F31" i="2"/>
  <c r="Q14" i="2" s="1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E29" i="2"/>
  <c r="E30" i="2"/>
  <c r="E31" i="2"/>
  <c r="P14" i="2" s="1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D29" i="2"/>
  <c r="D30" i="2"/>
  <c r="D31" i="2"/>
  <c r="O14" i="2" s="1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C29" i="2"/>
  <c r="C30" i="2"/>
  <c r="C31" i="2"/>
  <c r="C32" i="2"/>
  <c r="N14" i="2" s="1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J28" i="2"/>
  <c r="I28" i="2"/>
  <c r="T13" i="2" s="1"/>
  <c r="H28" i="2"/>
  <c r="S13" i="2" s="1"/>
  <c r="G28" i="2"/>
  <c r="R13" i="2" s="1"/>
  <c r="F28" i="2"/>
  <c r="E28" i="2"/>
  <c r="P13" i="2" s="1"/>
  <c r="D28" i="2"/>
  <c r="C28" i="2"/>
  <c r="B29" i="2"/>
  <c r="B30" i="2"/>
  <c r="B31" i="2"/>
  <c r="M14" i="2" s="1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28" i="2"/>
  <c r="M13" i="2" s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E2" i="1"/>
  <c r="AD2" i="1"/>
  <c r="AA2" i="1"/>
  <c r="Z2" i="1"/>
  <c r="AC2" i="1"/>
  <c r="AB2" i="1"/>
  <c r="Y2" i="1"/>
  <c r="X2" i="1"/>
  <c r="W2" i="1"/>
  <c r="V2" i="1"/>
  <c r="U2" i="1"/>
  <c r="T2" i="1"/>
  <c r="S2" i="1"/>
  <c r="R2" i="1"/>
  <c r="P4" i="1"/>
  <c r="Q4" i="1"/>
  <c r="P5" i="1"/>
  <c r="Q5" i="1"/>
  <c r="P6" i="1"/>
  <c r="Q6" i="1"/>
  <c r="P7" i="1"/>
  <c r="Q7" i="1"/>
  <c r="P8" i="1"/>
  <c r="Q8" i="1"/>
  <c r="P9" i="1"/>
  <c r="Q9" i="1"/>
  <c r="P10" i="1"/>
  <c r="Q10" i="1"/>
  <c r="P11" i="1"/>
  <c r="Q11" i="1"/>
  <c r="P12" i="1"/>
  <c r="Q12" i="1"/>
  <c r="P13" i="1"/>
  <c r="Q13" i="1"/>
  <c r="P14" i="1"/>
  <c r="Q14" i="1"/>
  <c r="P15" i="1"/>
  <c r="Q15" i="1"/>
  <c r="P16" i="1"/>
  <c r="Q16" i="1"/>
  <c r="P17" i="1"/>
  <c r="Q17" i="1"/>
  <c r="P18" i="1"/>
  <c r="Q18" i="1"/>
  <c r="P19" i="1"/>
  <c r="Q19" i="1"/>
  <c r="P20" i="1"/>
  <c r="Q20" i="1"/>
  <c r="P21" i="1"/>
  <c r="Q21" i="1"/>
  <c r="P22" i="1"/>
  <c r="Q22" i="1"/>
  <c r="P23" i="1"/>
  <c r="Q23" i="1"/>
  <c r="P24" i="1"/>
  <c r="Q24" i="1"/>
  <c r="P25" i="1"/>
  <c r="Q25" i="1"/>
  <c r="P26" i="1"/>
  <c r="Q26" i="1"/>
  <c r="Q3" i="1"/>
  <c r="P3" i="1"/>
  <c r="Q2" i="1"/>
  <c r="P2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3" i="1"/>
  <c r="N3" i="1"/>
  <c r="O2" i="1"/>
  <c r="N25" i="1"/>
  <c r="N26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" i="1"/>
</calcChain>
</file>

<file path=xl/sharedStrings.xml><?xml version="1.0" encoding="utf-8"?>
<sst xmlns="http://schemas.openxmlformats.org/spreadsheetml/2006/main" count="1021" uniqueCount="144">
  <si>
    <t>Year</t>
  </si>
  <si>
    <t>DF27</t>
  </si>
  <si>
    <t>DF03</t>
  </si>
  <si>
    <t>DF21</t>
  </si>
  <si>
    <t>DF49</t>
  </si>
  <si>
    <t>ES51</t>
  </si>
  <si>
    <t>ES50</t>
  </si>
  <si>
    <t>ES42</t>
  </si>
  <si>
    <t>ES01</t>
  </si>
  <si>
    <t>ES48</t>
  </si>
  <si>
    <t>Cell #</t>
  </si>
  <si>
    <t>AVGES51</t>
  </si>
  <si>
    <t>STDES51</t>
  </si>
  <si>
    <t>AVGES50</t>
  </si>
  <si>
    <t>STDES50</t>
  </si>
  <si>
    <t>AVGES42</t>
  </si>
  <si>
    <t>STDES42</t>
  </si>
  <si>
    <t>AVGES01</t>
  </si>
  <si>
    <t>STDES01</t>
  </si>
  <si>
    <t>AVGES48</t>
  </si>
  <si>
    <t>STDES48</t>
  </si>
  <si>
    <t>AVGDF27</t>
  </si>
  <si>
    <t>STDDF27</t>
  </si>
  <si>
    <t>AVGDF03</t>
  </si>
  <si>
    <t>STDDF03</t>
  </si>
  <si>
    <t>AVGDF21</t>
  </si>
  <si>
    <t>STDDF21</t>
  </si>
  <si>
    <t>AVGDF49</t>
  </si>
  <si>
    <t>STDDF49</t>
  </si>
  <si>
    <t>EW</t>
  </si>
  <si>
    <t>LW</t>
  </si>
  <si>
    <t>D^4</t>
  </si>
  <si>
    <t xml:space="preserve">EW </t>
  </si>
  <si>
    <t>DIAMETER</t>
  </si>
  <si>
    <t>ES51EW</t>
  </si>
  <si>
    <t>ES51LW</t>
  </si>
  <si>
    <t>ES50LW</t>
  </si>
  <si>
    <t>ES50EW</t>
  </si>
  <si>
    <t>ES01LW</t>
  </si>
  <si>
    <t>ES01EW</t>
  </si>
  <si>
    <t>ES42LW</t>
  </si>
  <si>
    <t>ES42EW</t>
  </si>
  <si>
    <t>ES48LW</t>
  </si>
  <si>
    <t>ES48EW</t>
  </si>
  <si>
    <t>DF27LW</t>
  </si>
  <si>
    <t>DF27EW</t>
  </si>
  <si>
    <t>DF03LW</t>
  </si>
  <si>
    <t>DF03EW</t>
  </si>
  <si>
    <t>DF21LW</t>
  </si>
  <si>
    <t>DF21EW</t>
  </si>
  <si>
    <t>DF49LW</t>
  </si>
  <si>
    <t>DF49EW</t>
  </si>
  <si>
    <t>Hydraulic radius (m)</t>
  </si>
  <si>
    <t xml:space="preserve">Ks (kg Mpa-1 s-1 m-1) </t>
  </si>
  <si>
    <t>SWA (m^2)</t>
  </si>
  <si>
    <t>Tracheid density (tracheids m^-2)</t>
  </si>
  <si>
    <t>Kh (kg Mpa-1 s-1)</t>
  </si>
  <si>
    <t>L(m)</t>
  </si>
  <si>
    <t>Kh_total  (kg Mpa-1 s-1)</t>
  </si>
  <si>
    <t>Rmin_tot (Mpa s kg-1)</t>
  </si>
  <si>
    <t>Kh_min (kg Mpa-1 s-1)</t>
  </si>
  <si>
    <t>/ loss at max Psi</t>
  </si>
  <si>
    <t>Rmax (Mpa s kg-1)</t>
  </si>
  <si>
    <t>Ks_total((kg Mpa-1 s-1 m-1)</t>
  </si>
  <si>
    <t xml:space="preserve">original radius with 3-22 (90-10)and 5-20 cells (80-20) </t>
  </si>
  <si>
    <t>d</t>
  </si>
  <si>
    <t>2ab/a2+b2</t>
  </si>
  <si>
    <t>Ks'</t>
  </si>
  <si>
    <t xml:space="preserve">As an ellipse </t>
  </si>
  <si>
    <t>a</t>
  </si>
  <si>
    <t>b</t>
  </si>
  <si>
    <t>up to 10</t>
  </si>
  <si>
    <t>AVGES51(Ltr)</t>
  </si>
  <si>
    <t>AVGES51(Ttr)</t>
  </si>
  <si>
    <t>AVGES50(Ltr)</t>
  </si>
  <si>
    <t>AVGES50(Ttr)</t>
  </si>
  <si>
    <t>AVGES42(Ltr)</t>
  </si>
  <si>
    <t>AVGES01(Ltr)</t>
  </si>
  <si>
    <t>AVGES48(Ltr)</t>
  </si>
  <si>
    <t>AVGDF27(Ltr)</t>
  </si>
  <si>
    <t>AVGDF03(Ltr)</t>
  </si>
  <si>
    <t>AVGDF21(Ltr)</t>
  </si>
  <si>
    <t>AVGDF49(Ltr)</t>
  </si>
  <si>
    <t>D2x=2ab/a+b</t>
  </si>
  <si>
    <t>D2x^4</t>
  </si>
  <si>
    <t>RADIUS (m)</t>
  </si>
  <si>
    <t>Rh (m)</t>
  </si>
  <si>
    <t>AVGES42(Ttr)</t>
  </si>
  <si>
    <t>AVGES01(Ttr)</t>
  </si>
  <si>
    <t>AVGES48(Ttr)</t>
  </si>
  <si>
    <t>AVGDF27(Ttr)</t>
  </si>
  <si>
    <t>AVGDF03(Ttr)</t>
  </si>
  <si>
    <t>AVGDF21(Ttr)</t>
  </si>
  <si>
    <t>AVGDF49(Ttr)</t>
  </si>
  <si>
    <t>Just with 2ab/a+b</t>
  </si>
  <si>
    <t>D4 with 2ab/a+b</t>
  </si>
  <si>
    <t>Dh(m)</t>
  </si>
  <si>
    <t xml:space="preserve">To compare with Qu </t>
  </si>
  <si>
    <t xml:space="preserve">Ks (m2 Mpa-1 s-1) </t>
  </si>
  <si>
    <t xml:space="preserve">Ranges reported by Qu </t>
  </si>
  <si>
    <t>LW=[0.0002,0.0007]</t>
  </si>
  <si>
    <t>Pine</t>
  </si>
  <si>
    <t xml:space="preserve">Spruce </t>
  </si>
  <si>
    <t>LW=[0.0002,0.001]</t>
  </si>
  <si>
    <t>EW=[0.0089,0.0238]</t>
  </si>
  <si>
    <t>EW=[0.0007,0.016]</t>
  </si>
  <si>
    <t>Ks_total (kg Mpa-1 s-1 m-1)</t>
  </si>
  <si>
    <t xml:space="preserve">*the /2 is assuming full pit resistance </t>
  </si>
  <si>
    <t>30000-60000</t>
  </si>
  <si>
    <t>1500-4500</t>
  </si>
  <si>
    <t>15000-30000</t>
  </si>
  <si>
    <t>20000-45000</t>
  </si>
  <si>
    <t>75000-150000</t>
  </si>
  <si>
    <t>1500-15000</t>
  </si>
  <si>
    <t xml:space="preserve">Fitted trends from data </t>
  </si>
  <si>
    <t>/2</t>
  </si>
  <si>
    <t>X2</t>
  </si>
  <si>
    <t>SWV (m3)</t>
  </si>
  <si>
    <t>kg/s</t>
  </si>
  <si>
    <t>cm3/h</t>
  </si>
  <si>
    <t>Mpa</t>
  </si>
  <si>
    <t>SF</t>
  </si>
  <si>
    <t>*1e-6-&gt;m3</t>
  </si>
  <si>
    <t>*1e3-m3</t>
  </si>
  <si>
    <t xml:space="preserve">/3600 -&gt;s </t>
  </si>
  <si>
    <t xml:space="preserve">dPsi may25 3pm </t>
  </si>
  <si>
    <t>1L</t>
  </si>
  <si>
    <t>60L</t>
  </si>
  <si>
    <t>soil</t>
  </si>
  <si>
    <t>stem</t>
  </si>
  <si>
    <t xml:space="preserve">soil </t>
  </si>
  <si>
    <t xml:space="preserve">stem </t>
  </si>
  <si>
    <t>dpsi</t>
  </si>
  <si>
    <t xml:space="preserve">19 L measured </t>
  </si>
  <si>
    <t>Kh_max  (kg Mpa-1 s-1)</t>
  </si>
  <si>
    <t xml:space="preserve">168 L estimated </t>
  </si>
  <si>
    <t xml:space="preserve">cm3/h measured </t>
  </si>
  <si>
    <t xml:space="preserve"> Per 1 m </t>
  </si>
  <si>
    <t xml:space="preserve">1 meter path with structure </t>
  </si>
  <si>
    <t xml:space="preserve">K s </t>
  </si>
  <si>
    <t xml:space="preserve">K h (per 1 m of xylem) </t>
  </si>
  <si>
    <t>age</t>
  </si>
  <si>
    <t>&lt;90</t>
  </si>
  <si>
    <t>Rmin  (Mpa s kg-1)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</si>
</sst>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"/>
    <numFmt numFmtId="166" formatCode="0.00000000000000"/>
  </numFmts>
  <fonts count="7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b/>
      <sz val="12"/>
      <color theme="1"/>
      <name val="Aptos Narrow"/>
      <scheme val="minor"/>
    </font>
    <font>
      <sz val="12"/>
      <color theme="5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i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1" xfId="0" applyFont="1" applyBorder="1"/>
    <xf numFmtId="11" fontId="0" fillId="0" borderId="0" xfId="0" applyNumberFormat="1"/>
    <xf numFmtId="11" fontId="4" fillId="0" borderId="0" xfId="0" applyNumberFormat="1" applyFon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6" fillId="0" borderId="0" xfId="0" applyFont="1"/>
    <xf numFmtId="166" fontId="5" fillId="0" borderId="0" xfId="0" applyNumberFormat="1" applyFont="1"/>
    <xf numFmtId="1" fontId="0" fillId="0" borderId="0" xfId="0" applyNumberFormat="1"/>
    <xf numFmtId="16" fontId="0" fillId="0" borderId="0" xfId="0" applyNumberForma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TOTALS!$M$67:$M$75</c:f>
              <c:strCache>
                <c:ptCount val="9"/>
                <c:pt idx="0">
                  <c:v>ES51</c:v>
                </c:pt>
                <c:pt idx="1">
                  <c:v>ES50</c:v>
                </c:pt>
                <c:pt idx="2">
                  <c:v>ES42</c:v>
                </c:pt>
                <c:pt idx="3">
                  <c:v>ES01</c:v>
                </c:pt>
                <c:pt idx="4">
                  <c:v>ES48</c:v>
                </c:pt>
                <c:pt idx="5">
                  <c:v>DF27</c:v>
                </c:pt>
                <c:pt idx="6">
                  <c:v>DF03</c:v>
                </c:pt>
                <c:pt idx="7">
                  <c:v>DF21</c:v>
                </c:pt>
                <c:pt idx="8">
                  <c:v>DF49</c:v>
                </c:pt>
              </c:strCache>
            </c:strRef>
          </c:cat>
          <c:val>
            <c:numRef>
              <c:f>TOTALS!$N$67:$N$75</c:f>
              <c:numCache>
                <c:formatCode>General</c:formatCode>
                <c:ptCount val="9"/>
                <c:pt idx="0">
                  <c:v>5.9999639107377741E-4</c:v>
                </c:pt>
                <c:pt idx="1">
                  <c:v>3.8217153107102117E-3</c:v>
                </c:pt>
                <c:pt idx="2">
                  <c:v>2.1963605779844759E-3</c:v>
                </c:pt>
                <c:pt idx="3">
                  <c:v>6.3176764710981591E-4</c:v>
                </c:pt>
                <c:pt idx="4">
                  <c:v>3.5397262397596434E-2</c:v>
                </c:pt>
                <c:pt idx="5">
                  <c:v>1.7436380219519366E-3</c:v>
                </c:pt>
                <c:pt idx="6">
                  <c:v>6.4993755662676937E-4</c:v>
                </c:pt>
                <c:pt idx="7">
                  <c:v>4.5503012218842155E-3</c:v>
                </c:pt>
                <c:pt idx="8">
                  <c:v>2.9728747109417301E-2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5D-C94C-8653-B8CA0C681B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7691280"/>
        <c:axId val="1668258608"/>
      </c:barChart>
      <c:catAx>
        <c:axId val="1667691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82586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66825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7691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TOTALS!$M$67:$M$75</c:f>
              <c:strCache>
                <c:ptCount val="9"/>
                <c:pt idx="0">
                  <c:v>ES51</c:v>
                </c:pt>
                <c:pt idx="1">
                  <c:v>ES50</c:v>
                </c:pt>
                <c:pt idx="2">
                  <c:v>ES42</c:v>
                </c:pt>
                <c:pt idx="3">
                  <c:v>ES01</c:v>
                </c:pt>
                <c:pt idx="4">
                  <c:v>ES48</c:v>
                </c:pt>
                <c:pt idx="5">
                  <c:v>DF27</c:v>
                </c:pt>
                <c:pt idx="6">
                  <c:v>DF03</c:v>
                </c:pt>
                <c:pt idx="7">
                  <c:v>DF21</c:v>
                </c:pt>
                <c:pt idx="8">
                  <c:v>DF49</c:v>
                </c:pt>
              </c:strCache>
            </c:strRef>
          </c:cat>
          <c:val>
            <c:numRef>
              <c:f>TOTALS!$O$67:$O$75</c:f>
              <c:numCache>
                <c:formatCode>General</c:formatCode>
                <c:ptCount val="9"/>
                <c:pt idx="0">
                  <c:v>0.35967002439431001</c:v>
                </c:pt>
                <c:pt idx="1">
                  <c:v>0.76200275023545672</c:v>
                </c:pt>
                <c:pt idx="2">
                  <c:v>0.53716733430411323</c:v>
                </c:pt>
                <c:pt idx="3">
                  <c:v>0.30194878054973934</c:v>
                </c:pt>
                <c:pt idx="4">
                  <c:v>1.7196731631557849</c:v>
                </c:pt>
                <c:pt idx="5">
                  <c:v>0.53124404911533984</c:v>
                </c:pt>
                <c:pt idx="6">
                  <c:v>0.16040438044306096</c:v>
                </c:pt>
                <c:pt idx="7">
                  <c:v>1.2952433391816962</c:v>
                </c:pt>
                <c:pt idx="8">
                  <c:v>1.0219172903655847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2F-584F-8FCB-44F854B548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625760"/>
        <c:axId val="165228480"/>
      </c:barChart>
      <c:catAx>
        <c:axId val="16562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28480"/>
        <c:crosses val="autoZero"/>
        <c:auto val="1"/>
        <c:lblAlgn val="ctr"/>
        <c:lblOffset val="100"/>
        <c:noMultiLvlLbl val="0"/>
      </c:catAx>
      <c:valAx>
        <c:axId val="16522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25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TOTALS!$Q$66</c:f>
              <c:strCache>
                <c:ptCount val="1"/>
                <c:pt idx="0">
                  <c:v>Hydraulic radius (m)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TOTALS!$M$67:$M$75</c:f>
              <c:strCache>
                <c:ptCount val="9"/>
                <c:pt idx="0">
                  <c:v>ES51</c:v>
                </c:pt>
                <c:pt idx="1">
                  <c:v>ES50</c:v>
                </c:pt>
                <c:pt idx="2">
                  <c:v>ES42</c:v>
                </c:pt>
                <c:pt idx="3">
                  <c:v>ES01</c:v>
                </c:pt>
                <c:pt idx="4">
                  <c:v>ES48</c:v>
                </c:pt>
                <c:pt idx="5">
                  <c:v>DF27</c:v>
                </c:pt>
                <c:pt idx="6">
                  <c:v>DF03</c:v>
                </c:pt>
                <c:pt idx="7">
                  <c:v>DF21</c:v>
                </c:pt>
                <c:pt idx="8">
                  <c:v>DF49</c:v>
                </c:pt>
              </c:strCache>
            </c:strRef>
          </c:cat>
          <c:val>
            <c:numRef>
              <c:f>TOTALS!$Q$67:$Q$75</c:f>
              <c:numCache>
                <c:formatCode>General</c:formatCode>
                <c:ptCount val="9"/>
                <c:pt idx="0">
                  <c:v>9.4057424405693868E-6</c:v>
                </c:pt>
                <c:pt idx="1">
                  <c:v>1.1855467471975715E-5</c:v>
                </c:pt>
                <c:pt idx="2">
                  <c:v>1.1392050223224078E-5</c:v>
                </c:pt>
                <c:pt idx="3">
                  <c:v>9.540610062163369E-6</c:v>
                </c:pt>
                <c:pt idx="4">
                  <c:v>1.5379800820041051E-5</c:v>
                </c:pt>
                <c:pt idx="5">
                  <c:v>1.0296078113928704E-5</c:v>
                </c:pt>
                <c:pt idx="6">
                  <c:v>7.6126638685896075E-6</c:v>
                </c:pt>
                <c:pt idx="7">
                  <c:v>1.2865905899897505E-5</c:v>
                </c:pt>
                <c:pt idx="8">
                  <c:v>1.4451200535072439E-5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DD-594F-8676-57403C45AF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625760"/>
        <c:axId val="165228480"/>
      </c:barChart>
      <c:catAx>
        <c:axId val="16562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28480"/>
        <c:crosses val="autoZero"/>
        <c:auto val="1"/>
        <c:lblAlgn val="ctr"/>
        <c:lblOffset val="100"/>
        <c:noMultiLvlLbl val="0"/>
      </c:catAx>
      <c:valAx>
        <c:axId val="16522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25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'tracheidogram-avg'!$P$29:$P$37</c:f>
                <c:numCache>
                  <c:formatCode>General</c:formatCode>
                  <c:ptCount val="9"/>
                  <c:pt idx="0">
                    <c:v>0.58419911173926742</c:v>
                  </c:pt>
                  <c:pt idx="1">
                    <c:v>0.46150648912319442</c:v>
                  </c:pt>
                  <c:pt idx="2">
                    <c:v>0.78841576091785437</c:v>
                  </c:pt>
                  <c:pt idx="3">
                    <c:v>0.37233695763963015</c:v>
                  </c:pt>
                  <c:pt idx="4">
                    <c:v>0.82824075276143827</c:v>
                  </c:pt>
                  <c:pt idx="5">
                    <c:v>0.65032105963352516</c:v>
                  </c:pt>
                  <c:pt idx="6">
                    <c:v>0.67280535757868243</c:v>
                  </c:pt>
                  <c:pt idx="7">
                    <c:v>0.67514402327213208</c:v>
                  </c:pt>
                  <c:pt idx="8">
                    <c:v>0.84651765594853468</c:v>
                  </c:pt>
                </c:numCache>
              </c:numRef>
            </c:plus>
            <c:minus>
              <c:numRef>
                <c:f>'tracheidogram-avg'!$P$29:$P$37</c:f>
                <c:numCache>
                  <c:formatCode>General</c:formatCode>
                  <c:ptCount val="9"/>
                  <c:pt idx="0">
                    <c:v>0.58419911173926742</c:v>
                  </c:pt>
                  <c:pt idx="1">
                    <c:v>0.46150648912319442</c:v>
                  </c:pt>
                  <c:pt idx="2">
                    <c:v>0.78841576091785437</c:v>
                  </c:pt>
                  <c:pt idx="3">
                    <c:v>0.37233695763963015</c:v>
                  </c:pt>
                  <c:pt idx="4">
                    <c:v>0.82824075276143827</c:v>
                  </c:pt>
                  <c:pt idx="5">
                    <c:v>0.65032105963352516</c:v>
                  </c:pt>
                  <c:pt idx="6">
                    <c:v>0.67280535757868243</c:v>
                  </c:pt>
                  <c:pt idx="7">
                    <c:v>0.67514402327213208</c:v>
                  </c:pt>
                  <c:pt idx="8">
                    <c:v>0.84651765594853468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strRef>
              <c:f>'tracheidogram-avg'!$M$29:$M$37</c:f>
              <c:strCache>
                <c:ptCount val="9"/>
                <c:pt idx="0">
                  <c:v>ES51</c:v>
                </c:pt>
                <c:pt idx="1">
                  <c:v>ES50</c:v>
                </c:pt>
                <c:pt idx="2">
                  <c:v>ES42</c:v>
                </c:pt>
                <c:pt idx="3">
                  <c:v>ES01</c:v>
                </c:pt>
                <c:pt idx="4">
                  <c:v>ES48</c:v>
                </c:pt>
                <c:pt idx="5">
                  <c:v>DF27</c:v>
                </c:pt>
                <c:pt idx="6">
                  <c:v>DF03</c:v>
                </c:pt>
                <c:pt idx="7">
                  <c:v>DF21</c:v>
                </c:pt>
                <c:pt idx="8">
                  <c:v>DF49</c:v>
                </c:pt>
              </c:strCache>
            </c:strRef>
          </c:xVal>
          <c:yVal>
            <c:numRef>
              <c:f>'tracheidogram-avg'!$N$29:$N$37</c:f>
              <c:numCache>
                <c:formatCode>General</c:formatCode>
                <c:ptCount val="9"/>
                <c:pt idx="0">
                  <c:v>15.646451098350195</c:v>
                </c:pt>
                <c:pt idx="1">
                  <c:v>17.41082686654909</c:v>
                </c:pt>
                <c:pt idx="2">
                  <c:v>17.352935360123958</c:v>
                </c:pt>
                <c:pt idx="3">
                  <c:v>13.602733333333333</c:v>
                </c:pt>
                <c:pt idx="4">
                  <c:v>25.485603937681908</c:v>
                </c:pt>
                <c:pt idx="5">
                  <c:v>13.60794523809524</c:v>
                </c:pt>
                <c:pt idx="6">
                  <c:v>11.81516928483105</c:v>
                </c:pt>
                <c:pt idx="7">
                  <c:v>18.508415740740745</c:v>
                </c:pt>
                <c:pt idx="8">
                  <c:v>19.407594444444445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96-E34D-9A8F-5A6A1CC7C9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0329872"/>
        <c:axId val="1689717072"/>
      </c:scatterChart>
      <c:valAx>
        <c:axId val="2050329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717072"/>
        <c:crosses val="autoZero"/>
        <c:crossBetween val="midCat"/>
      </c:valAx>
      <c:valAx>
        <c:axId val="168971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329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  <cx:data id="1">
      <cx:numDim type="val">
        <cx:f>_xlchart.v1.7</cx:f>
      </cx:numDim>
    </cx:data>
    <cx:data id="2">
      <cx:numDim type="val">
        <cx:f>_xlchart.v1.9</cx:f>
      </cx:numDim>
    </cx:data>
    <cx:data id="3">
      <cx:numDim type="val">
        <cx:f>_xlchart.v1.11</cx:f>
      </cx:numDim>
    </cx:data>
    <cx:data id="4">
      <cx:numDim type="val">
        <cx:f>_xlchart.v1.13</cx:f>
      </cx:numDim>
    </cx:data>
    <cx:data id="5">
      <cx:numDim type="val">
        <cx:f>_xlchart.v1.15</cx:f>
      </cx:numDim>
    </cx:data>
    <cx:data id="6">
      <cx:numDim type="val">
        <cx:f>_xlchart.v1.17</cx:f>
      </cx:numDim>
    </cx:data>
    <cx:data id="7">
      <cx:numDim type="val">
        <cx:f>_xlchart.v1.1</cx:f>
      </cx:numDim>
    </cx:data>
    <cx:data id="8">
      <cx:numDim type="val">
        <cx:f>_xlchart.v1.3</cx:f>
      </cx:numDim>
    </cx:data>
  </cx:chartData>
  <cx:chart>
    <cx:title pos="t" align="ctr" overlay="0"/>
    <cx:plotArea>
      <cx:plotAreaRegion>
        <cx:series layoutId="boxWhisker" uniqueId="{A93BFCC9-AF8D-DD46-B04B-FA864A3A3BB5}">
          <cx:tx>
            <cx:txData>
              <cx:f>_xlchart.v1.4</cx:f>
              <cx:v>AVGES51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4F621AB5-7D58-7641-B2AA-3231D6C3B143}">
          <cx:tx>
            <cx:txData>
              <cx:f>_xlchart.v1.6</cx:f>
              <cx:v>AVGES50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31EA0D4D-B2E0-2242-AC8F-705601CB4FE2}">
          <cx:tx>
            <cx:txData>
              <cx:f>_xlchart.v1.8</cx:f>
              <cx:v>AVGES42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F3F67A14-7260-3D48-BF9C-47C12EBCC9A5}">
          <cx:tx>
            <cx:txData>
              <cx:f>_xlchart.v1.10</cx:f>
              <cx:v>AVGES01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9F56C789-E6A3-184C-B58A-EAA8731775B2}">
          <cx:tx>
            <cx:txData>
              <cx:f>_xlchart.v1.12</cx:f>
              <cx:v>AVGES48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416A6AF2-5769-964C-B759-D809061566A6}">
          <cx:tx>
            <cx:txData>
              <cx:f>_xlchart.v1.14</cx:f>
              <cx:v>AVGDF27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  <cx:series layoutId="boxWhisker" uniqueId="{3BC8BACF-D9B9-0845-9F5B-9C4DDB375B9A}">
          <cx:tx>
            <cx:txData>
              <cx:f>_xlchart.v1.16</cx:f>
              <cx:v>AVGDF03</cx:v>
            </cx:txData>
          </cx:tx>
          <cx:dataId val="6"/>
          <cx:layoutPr>
            <cx:visibility meanLine="0" meanMarker="1" nonoutliers="0" outliers="1"/>
            <cx:statistics quartileMethod="exclusive"/>
          </cx:layoutPr>
        </cx:series>
        <cx:series layoutId="boxWhisker" uniqueId="{7E6224C2-06FA-2042-9D2D-7C42F2816192}">
          <cx:tx>
            <cx:txData>
              <cx:f>_xlchart.v1.0</cx:f>
              <cx:v>AVGDF21</cx:v>
            </cx:txData>
          </cx:tx>
          <cx:dataId val="7"/>
          <cx:layoutPr>
            <cx:visibility meanLine="0" meanMarker="1" nonoutliers="0" outliers="1"/>
            <cx:statistics quartileMethod="exclusive"/>
          </cx:layoutPr>
        </cx:series>
        <cx:series layoutId="boxWhisker" uniqueId="{26836F5F-BDB2-5F47-B031-DA2278962BCA}">
          <cx:tx>
            <cx:txData>
              <cx:f>_xlchart.v1.2</cx:f>
              <cx:v>AVGDF49</cx:v>
            </cx:txData>
          </cx:tx>
          <cx:dataId val="8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168383</xdr:colOff>
      <xdr:row>46</xdr:row>
      <xdr:rowOff>183793</xdr:rowOff>
    </xdr:from>
    <xdr:to>
      <xdr:col>17</xdr:col>
      <xdr:colOff>14271</xdr:colOff>
      <xdr:row>60</xdr:row>
      <xdr:rowOff>130139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CBE02D1-A0B9-5149-409F-8BFE434CA3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432371</xdr:colOff>
      <xdr:row>62</xdr:row>
      <xdr:rowOff>155254</xdr:rowOff>
    </xdr:from>
    <xdr:to>
      <xdr:col>24</xdr:col>
      <xdr:colOff>38529</xdr:colOff>
      <xdr:row>76</xdr:row>
      <xdr:rowOff>101600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0A9D6AC-0810-A511-3991-406540D710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642136</xdr:colOff>
      <xdr:row>78</xdr:row>
      <xdr:rowOff>142697</xdr:rowOff>
    </xdr:from>
    <xdr:to>
      <xdr:col>21</xdr:col>
      <xdr:colOff>248293</xdr:colOff>
      <xdr:row>92</xdr:row>
      <xdr:rowOff>89043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7410EEA-2F49-9144-B625-EEBAC08373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133350</xdr:colOff>
      <xdr:row>38</xdr:row>
      <xdr:rowOff>38100</xdr:rowOff>
    </xdr:from>
    <xdr:to>
      <xdr:col>17</xdr:col>
      <xdr:colOff>577850</xdr:colOff>
      <xdr:row>51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44D158-3E02-D65C-B7C3-A491557E20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755650</xdr:colOff>
      <xdr:row>30</xdr:row>
      <xdr:rowOff>152400</xdr:rowOff>
    </xdr:from>
    <xdr:to>
      <xdr:col>25</xdr:col>
      <xdr:colOff>374650</xdr:colOff>
      <xdr:row>44</xdr:row>
      <xdr:rowOff>50800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7ABF8387-F225-A03C-9902-07788D7A6A7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710150" y="62484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C3E8E-03B2-8740-9450-9DDBC69B18A6}">
  <dimension ref="A1:U100"/>
  <sheetViews>
    <sheetView tabSelected="1" topLeftCell="A61" zoomScale="89" workbookViewId="0">
      <selection activeCell="C78" sqref="C78"/>
    </sheetView>
  </sheetViews>
  <sheetFormatPr baseColWidth="10" defaultRowHeight="16" x14ac:dyDescent="0.2"/>
  <cols>
    <col min="1" max="1" width="12.33203125" bestFit="1" customWidth="1"/>
    <col min="2" max="2" width="19.33203125" customWidth="1"/>
    <col min="3" max="3" width="29.5" customWidth="1"/>
    <col min="4" max="4" width="16.33203125" customWidth="1"/>
    <col min="5" max="6" width="25.33203125" customWidth="1"/>
    <col min="7" max="7" width="11" bestFit="1" customWidth="1"/>
    <col min="8" max="8" width="22" customWidth="1"/>
    <col min="9" max="9" width="19.33203125" customWidth="1"/>
    <col min="10" max="10" width="19.5" customWidth="1"/>
    <col min="11" max="11" width="16.6640625" customWidth="1"/>
    <col min="12" max="12" width="19.5" customWidth="1"/>
    <col min="13" max="13" width="26.5" customWidth="1"/>
  </cols>
  <sheetData>
    <row r="1" spans="1:21" x14ac:dyDescent="0.2">
      <c r="B1" t="s">
        <v>52</v>
      </c>
      <c r="C1" t="s">
        <v>55</v>
      </c>
      <c r="D1" t="s">
        <v>54</v>
      </c>
      <c r="E1" t="s">
        <v>53</v>
      </c>
      <c r="F1" t="s">
        <v>63</v>
      </c>
      <c r="G1" t="s">
        <v>57</v>
      </c>
      <c r="H1" t="s">
        <v>56</v>
      </c>
      <c r="I1" t="s">
        <v>134</v>
      </c>
      <c r="J1" t="s">
        <v>59</v>
      </c>
      <c r="K1" t="s">
        <v>61</v>
      </c>
      <c r="L1" t="s">
        <v>60</v>
      </c>
      <c r="M1" t="s">
        <v>62</v>
      </c>
    </row>
    <row r="2" spans="1:21" x14ac:dyDescent="0.2">
      <c r="A2" t="s">
        <v>35</v>
      </c>
      <c r="B2">
        <v>3.3934486892371403E-6</v>
      </c>
      <c r="C2" s="4">
        <v>1945044766.9033651</v>
      </c>
      <c r="D2">
        <v>1.6681856990561855E-3</v>
      </c>
      <c r="E2" s="9">
        <f>(C2*((PI()*B2^4)/(8*0.000000001)))*998*0.1</f>
        <v>1.0108464161398789E-2</v>
      </c>
      <c r="F2" s="8">
        <f>0.9*E3+0.1*E2</f>
        <v>0.35967002439431001</v>
      </c>
      <c r="G2" s="4">
        <v>1.8</v>
      </c>
      <c r="H2" s="4">
        <f t="shared" ref="H2:H7" si="0">(E2*D2)/G2</f>
        <v>9.3682196408152443E-6</v>
      </c>
      <c r="I2" s="8">
        <f>0.9*H3+0.1*H2</f>
        <v>3.3333132837432076E-4</v>
      </c>
      <c r="J2" s="6">
        <f>1/I2</f>
        <v>3000.0180447396501</v>
      </c>
      <c r="K2">
        <v>0</v>
      </c>
      <c r="L2" s="4">
        <f>0.9*H3*(1-K3)+0.1*H2*(1-K2)</f>
        <v>9.3682196408152451E-7</v>
      </c>
      <c r="M2" s="6">
        <f>1/L2</f>
        <v>1067438.6792162973</v>
      </c>
    </row>
    <row r="3" spans="1:21" x14ac:dyDescent="0.2">
      <c r="A3" t="s">
        <v>34</v>
      </c>
      <c r="B3">
        <v>9.4057424405693868E-6</v>
      </c>
      <c r="C3" s="4">
        <v>1299202009.309938</v>
      </c>
      <c r="D3">
        <v>1.6681856990561855E-3</v>
      </c>
      <c r="E3" s="9">
        <f t="shared" ref="E3:E19" si="1">(C3*((PI()*B3^4)/(8*0.000000001)))*998*0.1</f>
        <v>0.39851019775352237</v>
      </c>
      <c r="F3" s="6"/>
      <c r="G3" s="4">
        <v>1.8</v>
      </c>
      <c r="H3" s="4">
        <f t="shared" si="0"/>
        <v>3.6932722934471024E-4</v>
      </c>
      <c r="I3" s="8"/>
      <c r="J3" s="6"/>
      <c r="K3">
        <v>1</v>
      </c>
      <c r="M3" s="6"/>
    </row>
    <row r="4" spans="1:21" x14ac:dyDescent="0.2">
      <c r="A4" t="s">
        <v>36</v>
      </c>
      <c r="B4">
        <v>2.8638652662134877E-6</v>
      </c>
      <c r="C4" s="4">
        <v>1907785001.1622787</v>
      </c>
      <c r="D4">
        <v>5.0153563219152587E-3</v>
      </c>
      <c r="E4" s="9">
        <f t="shared" si="1"/>
        <v>5.0295622306309809E-3</v>
      </c>
      <c r="F4" s="6">
        <f>0.9*E5+0.1*E4</f>
        <v>0.76200275023545672</v>
      </c>
      <c r="G4" s="4">
        <v>1.2</v>
      </c>
      <c r="H4" s="4">
        <f t="shared" si="0"/>
        <v>2.1020872274884418E-5</v>
      </c>
      <c r="I4" s="8">
        <f>0.9*H5+0.1*H4</f>
        <v>3.1847627589251769E-3</v>
      </c>
      <c r="J4" s="6">
        <f t="shared" ref="J4:J18" si="2">1/I4</f>
        <v>313.99513109651195</v>
      </c>
      <c r="K4">
        <v>0</v>
      </c>
      <c r="L4" s="4">
        <f>0.9*H5*(1-K5)+0.1*H4*(1-K4)</f>
        <v>2.1020872274884421E-6</v>
      </c>
      <c r="M4" s="6">
        <f>1/L4</f>
        <v>475717.65192388924</v>
      </c>
    </row>
    <row r="5" spans="1:21" x14ac:dyDescent="0.2">
      <c r="A5" t="s">
        <v>37</v>
      </c>
      <c r="B5">
        <v>1.1855467471975715E-5</v>
      </c>
      <c r="C5" s="4">
        <v>1092853935.7065306</v>
      </c>
      <c r="D5">
        <v>5.0153563219152587E-3</v>
      </c>
      <c r="E5" s="9">
        <f t="shared" si="1"/>
        <v>0.84611088223599296</v>
      </c>
      <c r="F5" s="6"/>
      <c r="G5" s="4">
        <v>1.2</v>
      </c>
      <c r="H5" s="4">
        <f t="shared" si="0"/>
        <v>3.5362896352196535E-3</v>
      </c>
      <c r="I5" s="8"/>
      <c r="J5" s="6"/>
      <c r="K5">
        <v>1</v>
      </c>
      <c r="M5" s="6"/>
    </row>
    <row r="6" spans="1:21" x14ac:dyDescent="0.2">
      <c r="A6" s="1" t="s">
        <v>40</v>
      </c>
      <c r="B6">
        <v>3.9737291970577394E-6</v>
      </c>
      <c r="C6" s="4">
        <v>1885175116.9630623</v>
      </c>
      <c r="D6">
        <v>4.0887828386471153E-3</v>
      </c>
      <c r="E6" s="9">
        <f t="shared" si="1"/>
        <v>1.8421932857878336E-2</v>
      </c>
      <c r="F6" s="6">
        <f>0.9*E7+0.1*E6</f>
        <v>0.53716733430411323</v>
      </c>
      <c r="G6" s="4">
        <v>1.2</v>
      </c>
      <c r="H6" s="4">
        <f t="shared" si="0"/>
        <v>6.2769402436668633E-5</v>
      </c>
      <c r="I6" s="8">
        <f>0.9*H7+0.1*H6</f>
        <v>1.8303004816537301E-3</v>
      </c>
      <c r="J6" s="6">
        <f t="shared" si="2"/>
        <v>546.35837668384954</v>
      </c>
      <c r="K6">
        <v>0</v>
      </c>
      <c r="L6" s="4">
        <f>0.9*H7*(1-K7)+0.1*H6*(1-K6)</f>
        <v>6.2769402436668635E-6</v>
      </c>
      <c r="M6" s="6">
        <f>1/L6</f>
        <v>159313.28978461327</v>
      </c>
    </row>
    <row r="7" spans="1:21" x14ac:dyDescent="0.2">
      <c r="A7" s="1" t="s">
        <v>41</v>
      </c>
      <c r="B7">
        <v>1.1392050223224078E-5</v>
      </c>
      <c r="C7" s="4">
        <v>901108611.14501977</v>
      </c>
      <c r="D7">
        <v>4.0887828386471153E-3</v>
      </c>
      <c r="E7" s="9">
        <f t="shared" si="1"/>
        <v>0.59480571224258372</v>
      </c>
      <c r="F7" s="6"/>
      <c r="G7" s="4">
        <v>1.2</v>
      </c>
      <c r="H7" s="4">
        <f t="shared" si="0"/>
        <v>2.026692823788959E-3</v>
      </c>
      <c r="I7" s="8"/>
      <c r="J7" s="6"/>
      <c r="K7">
        <v>1</v>
      </c>
      <c r="M7" s="6"/>
    </row>
    <row r="8" spans="1:21" x14ac:dyDescent="0.2">
      <c r="A8" s="1" t="s">
        <v>38</v>
      </c>
      <c r="B8">
        <v>3.4085647549750528E-6</v>
      </c>
      <c r="C8" s="4">
        <v>1921749773.7200744</v>
      </c>
      <c r="D8">
        <v>2.0923007072908058E-3</v>
      </c>
      <c r="E8" s="9">
        <f t="shared" si="1"/>
        <v>1.0166546741003731E-2</v>
      </c>
      <c r="F8" s="6">
        <f>0.9*E9+0.1*E8</f>
        <v>0.30194878054973934</v>
      </c>
      <c r="G8" s="4">
        <v>1.8</v>
      </c>
      <c r="H8" s="4">
        <f t="shared" ref="H8:H19" si="3">(E8*D8)/G8</f>
        <v>1.1817484964948412E-5</v>
      </c>
      <c r="I8" s="8">
        <f>0.9*H9+0.1*H8</f>
        <v>3.5098202617211993E-4</v>
      </c>
      <c r="J8" s="6">
        <f t="shared" si="2"/>
        <v>2849.1487467497973</v>
      </c>
      <c r="K8">
        <v>0</v>
      </c>
      <c r="L8" s="4">
        <f>0.9*H9*(1-K9)+0.1*H8*(1-K8)</f>
        <v>1.1817484964948413E-6</v>
      </c>
      <c r="M8" s="6">
        <f>1/L8</f>
        <v>846203.74213809322</v>
      </c>
    </row>
    <row r="9" spans="1:21" x14ac:dyDescent="0.2">
      <c r="A9" s="1" t="s">
        <v>39</v>
      </c>
      <c r="B9">
        <v>9.540610062163369E-6</v>
      </c>
      <c r="C9" s="4">
        <v>1029748179.181354</v>
      </c>
      <c r="D9">
        <v>2.0923007072908058E-3</v>
      </c>
      <c r="E9" s="9">
        <f t="shared" si="1"/>
        <v>0.33436902875070995</v>
      </c>
      <c r="F9" s="6"/>
      <c r="G9" s="4">
        <v>1.8</v>
      </c>
      <c r="H9" s="4">
        <f t="shared" si="3"/>
        <v>3.8866697519513902E-4</v>
      </c>
      <c r="I9" s="8"/>
      <c r="J9" s="6"/>
      <c r="K9">
        <v>1</v>
      </c>
      <c r="M9" s="6"/>
    </row>
    <row r="10" spans="1:21" x14ac:dyDescent="0.2">
      <c r="A10" s="1" t="s">
        <v>42</v>
      </c>
      <c r="B10">
        <v>5.5508204613628374E-6</v>
      </c>
      <c r="C10" s="4">
        <v>1402828427.1260099</v>
      </c>
      <c r="D10">
        <v>2.0583715066320309E-2</v>
      </c>
      <c r="E10" s="9">
        <f t="shared" si="1"/>
        <v>5.2194375653330495E-2</v>
      </c>
      <c r="F10" s="6">
        <f>0.9*E11+0.1*E10</f>
        <v>1.7196731631557849</v>
      </c>
      <c r="G10" s="4">
        <v>1.58</v>
      </c>
      <c r="H10" s="4">
        <f t="shared" si="3"/>
        <v>6.7997098513458275E-4</v>
      </c>
      <c r="I10" s="8">
        <f>0.9*H11+0.1*H10</f>
        <v>2.2403330631390144E-2</v>
      </c>
      <c r="J10" s="6">
        <f t="shared" si="2"/>
        <v>44.636220232310578</v>
      </c>
      <c r="K10">
        <v>0</v>
      </c>
      <c r="L10" s="4">
        <f>0.9*H11*(1-K11)+0.1*H10*(1-K10)</f>
        <v>6.7997098513458275E-5</v>
      </c>
      <c r="M10" s="6">
        <f>1/L10</f>
        <v>14706.509863830082</v>
      </c>
      <c r="U10" s="4"/>
    </row>
    <row r="11" spans="1:21" x14ac:dyDescent="0.2">
      <c r="A11" s="1" t="s">
        <v>43</v>
      </c>
      <c r="B11">
        <v>1.5379800820041051E-5</v>
      </c>
      <c r="C11" s="4">
        <v>868740337.05044556</v>
      </c>
      <c r="D11">
        <v>2.0583715066320309E-2</v>
      </c>
      <c r="E11" s="9">
        <f t="shared" si="1"/>
        <v>1.9049485839893909</v>
      </c>
      <c r="F11" s="6"/>
      <c r="G11" s="4">
        <v>1.58</v>
      </c>
      <c r="H11" s="4">
        <f t="shared" si="3"/>
        <v>2.4817037258751874E-2</v>
      </c>
      <c r="I11" s="8"/>
      <c r="J11" s="6"/>
      <c r="K11">
        <v>1</v>
      </c>
      <c r="M11" s="6"/>
      <c r="U11" s="4"/>
    </row>
    <row r="12" spans="1:21" x14ac:dyDescent="0.2">
      <c r="A12" t="s">
        <v>44</v>
      </c>
      <c r="B12">
        <v>3.0397148171416321E-6</v>
      </c>
      <c r="C12" s="4">
        <v>2292232684.6603961</v>
      </c>
      <c r="D12">
        <v>3.2821789248379334E-3</v>
      </c>
      <c r="E12" s="9">
        <f t="shared" si="1"/>
        <v>7.6697373119907659E-3</v>
      </c>
      <c r="F12" s="6">
        <f>0.8*E13+0.2*E12</f>
        <v>0.53124404911533984</v>
      </c>
      <c r="G12" s="4">
        <v>2.2000000000000002</v>
      </c>
      <c r="H12" s="4">
        <f t="shared" si="3"/>
        <v>1.144247734748147E-5</v>
      </c>
      <c r="I12" s="8">
        <f>0.8*H13+0.2*H12</f>
        <v>7.9256273725088016E-4</v>
      </c>
      <c r="J12" s="6">
        <f t="shared" si="2"/>
        <v>1261.7297697702095</v>
      </c>
      <c r="K12">
        <v>0</v>
      </c>
      <c r="L12" s="4">
        <f>0.9*H13*(1-K13)+0.1*H12*(1-K12)</f>
        <v>1.1442477347481471E-6</v>
      </c>
      <c r="M12" s="6">
        <f>1/L12</f>
        <v>873936.62196771009</v>
      </c>
      <c r="U12" s="4"/>
    </row>
    <row r="13" spans="1:21" x14ac:dyDescent="0.2">
      <c r="A13" t="s">
        <v>45</v>
      </c>
      <c r="B13">
        <v>1.0296078113928704E-5</v>
      </c>
      <c r="C13" s="4">
        <v>1503386083.965745</v>
      </c>
      <c r="D13">
        <v>3.2821789248379334E-3</v>
      </c>
      <c r="E13" s="9">
        <f t="shared" si="1"/>
        <v>0.66213762706617718</v>
      </c>
      <c r="F13" s="6"/>
      <c r="G13" s="4">
        <v>2.2000000000000002</v>
      </c>
      <c r="H13" s="4">
        <f t="shared" si="3"/>
        <v>9.8784280222672977E-4</v>
      </c>
      <c r="I13" s="8"/>
      <c r="J13" s="6"/>
      <c r="K13">
        <v>1</v>
      </c>
      <c r="M13" s="6"/>
      <c r="U13" s="4"/>
    </row>
    <row r="14" spans="1:21" x14ac:dyDescent="0.2">
      <c r="A14" t="s">
        <v>46</v>
      </c>
      <c r="B14">
        <v>3.2873644458826822E-6</v>
      </c>
      <c r="C14" s="5">
        <v>2292232684.6603961</v>
      </c>
      <c r="D14">
        <v>4.0518691249674379E-3</v>
      </c>
      <c r="E14" s="9">
        <f t="shared" si="1"/>
        <v>1.0491571456785901E-2</v>
      </c>
      <c r="F14" s="6">
        <f>0.8*E15+0.2*E14</f>
        <v>0.16040438044306096</v>
      </c>
      <c r="G14">
        <v>1</v>
      </c>
      <c r="H14" s="4">
        <f t="shared" si="3"/>
        <v>4.2510474458140437E-5</v>
      </c>
      <c r="I14" s="8">
        <f>0.8*H15+0.2*H14</f>
        <v>6.4993755662676937E-4</v>
      </c>
      <c r="J14" s="6">
        <f t="shared" si="2"/>
        <v>1538.6093476273077</v>
      </c>
      <c r="K14">
        <v>0</v>
      </c>
      <c r="L14" s="4">
        <f>0.9*H15*(1-K15)+0.1*H14*(1-K14)</f>
        <v>4.2510474458140441E-6</v>
      </c>
      <c r="M14" s="6">
        <f>1/L14</f>
        <v>235236.14185597672</v>
      </c>
      <c r="U14" s="4"/>
    </row>
    <row r="15" spans="1:21" x14ac:dyDescent="0.2">
      <c r="A15" t="s">
        <v>47</v>
      </c>
      <c r="B15">
        <v>7.6126638685896075E-6</v>
      </c>
      <c r="C15" s="5">
        <v>1503386083.965745</v>
      </c>
      <c r="D15">
        <v>4.0518691249674379E-3</v>
      </c>
      <c r="E15" s="9">
        <f t="shared" si="1"/>
        <v>0.19788258268962972</v>
      </c>
      <c r="F15" s="6"/>
      <c r="G15">
        <v>1</v>
      </c>
      <c r="H15" s="4">
        <f t="shared" si="3"/>
        <v>8.017943271689266E-4</v>
      </c>
      <c r="I15" s="8"/>
      <c r="J15" s="6"/>
      <c r="K15">
        <v>1</v>
      </c>
      <c r="M15" s="6"/>
      <c r="U15" s="4"/>
    </row>
    <row r="16" spans="1:21" x14ac:dyDescent="0.2">
      <c r="A16" s="1" t="s">
        <v>48</v>
      </c>
      <c r="B16">
        <v>3.7855601985837959E-6</v>
      </c>
      <c r="C16" s="5">
        <v>2292232684.6603961</v>
      </c>
      <c r="D16">
        <v>3.5130859848767782E-3</v>
      </c>
      <c r="E16" s="9">
        <f t="shared" si="1"/>
        <v>1.8448869335001145E-2</v>
      </c>
      <c r="F16" s="6">
        <f>0.8*E17+0.2*E16</f>
        <v>1.2952433391816962</v>
      </c>
      <c r="G16">
        <v>1.4</v>
      </c>
      <c r="H16" s="4">
        <f t="shared" si="3"/>
        <v>4.6294617355439638E-5</v>
      </c>
      <c r="I16" s="8">
        <f>0.8*H17+0.2*H16</f>
        <v>3.2502151584887259E-3</v>
      </c>
      <c r="J16" s="6">
        <f t="shared" si="2"/>
        <v>307.67193900633231</v>
      </c>
      <c r="K16">
        <v>0</v>
      </c>
      <c r="L16" s="4">
        <f>0.9*H17*(1-K17)+0.1*H16*(1-K16)</f>
        <v>4.6294617355439638E-6</v>
      </c>
      <c r="M16" s="6">
        <f>1/L16</f>
        <v>216007.8335505455</v>
      </c>
      <c r="U16" s="4"/>
    </row>
    <row r="17" spans="1:21" x14ac:dyDescent="0.2">
      <c r="A17" s="1" t="s">
        <v>49</v>
      </c>
      <c r="B17">
        <v>1.2865905899897505E-5</v>
      </c>
      <c r="C17" s="5">
        <v>1503386083.965745</v>
      </c>
      <c r="D17">
        <v>3.5130859848767782E-3</v>
      </c>
      <c r="E17" s="9">
        <f t="shared" si="1"/>
        <v>1.6144419566433699</v>
      </c>
      <c r="F17" s="6"/>
      <c r="G17">
        <v>1.4</v>
      </c>
      <c r="H17" s="4">
        <f t="shared" si="3"/>
        <v>4.0511952937720471E-3</v>
      </c>
      <c r="I17" s="8"/>
      <c r="J17" s="6"/>
      <c r="K17">
        <v>1</v>
      </c>
      <c r="M17" s="6"/>
      <c r="U17" s="4"/>
    </row>
    <row r="18" spans="1:21" x14ac:dyDescent="0.2">
      <c r="A18" s="1" t="s">
        <v>50</v>
      </c>
      <c r="B18">
        <v>5.3741164633481407E-6</v>
      </c>
      <c r="C18" s="4">
        <v>1550958901.7095528</v>
      </c>
      <c r="D18">
        <v>2.9091147972241493E-2</v>
      </c>
      <c r="E18" s="9">
        <f t="shared" si="1"/>
        <v>5.070129034057666E-2</v>
      </c>
      <c r="F18" s="6">
        <f>0.8*E19+0.2*E18</f>
        <v>1.0219172903655847</v>
      </c>
      <c r="G18" s="4">
        <v>3.8</v>
      </c>
      <c r="H18" s="4">
        <f t="shared" si="3"/>
        <v>3.8814703675823522E-4</v>
      </c>
      <c r="I18" s="8">
        <f>0.8*H19+0.2*H18</f>
        <v>7.8233545024782372E-3</v>
      </c>
      <c r="J18" s="6">
        <f t="shared" si="2"/>
        <v>127.82240657549467</v>
      </c>
      <c r="K18">
        <v>0</v>
      </c>
      <c r="L18" s="4">
        <f>0.9*H19*(1-K19)+0.1*H18*(1-K18)</f>
        <v>3.8814703675823527E-5</v>
      </c>
      <c r="M18" s="6">
        <f>1/L18</f>
        <v>25763.432547415501</v>
      </c>
      <c r="U18" s="4"/>
    </row>
    <row r="19" spans="1:21" x14ac:dyDescent="0.2">
      <c r="A19" s="1" t="s">
        <v>51</v>
      </c>
      <c r="B19">
        <v>1.4451200535072439E-5</v>
      </c>
      <c r="C19" s="4">
        <v>739926688.03710067</v>
      </c>
      <c r="D19">
        <v>2.9091147972241493E-2</v>
      </c>
      <c r="E19" s="9">
        <f t="shared" si="1"/>
        <v>1.2647212903718366</v>
      </c>
      <c r="F19" s="6"/>
      <c r="G19" s="4">
        <v>3.8</v>
      </c>
      <c r="H19" s="4">
        <f t="shared" si="3"/>
        <v>9.6821563689082381E-3</v>
      </c>
      <c r="I19" s="4"/>
      <c r="K19">
        <v>1</v>
      </c>
      <c r="M19" s="6"/>
      <c r="U19" s="4"/>
    </row>
    <row r="20" spans="1:21" x14ac:dyDescent="0.2">
      <c r="C20" s="4"/>
      <c r="D20" s="4"/>
      <c r="M20" t="s">
        <v>122</v>
      </c>
      <c r="U20" s="4"/>
    </row>
    <row r="21" spans="1:21" x14ac:dyDescent="0.2">
      <c r="C21" s="4"/>
      <c r="M21" s="8" t="s">
        <v>123</v>
      </c>
      <c r="U21" s="4"/>
    </row>
    <row r="22" spans="1:21" x14ac:dyDescent="0.2">
      <c r="B22" t="s">
        <v>59</v>
      </c>
      <c r="C22" t="s">
        <v>62</v>
      </c>
      <c r="M22" t="s">
        <v>124</v>
      </c>
      <c r="U22" s="4"/>
    </row>
    <row r="23" spans="1:21" x14ac:dyDescent="0.2">
      <c r="A23" t="s">
        <v>5</v>
      </c>
      <c r="B23">
        <v>329.47355533052382</v>
      </c>
      <c r="C23" s="6">
        <f>M2</f>
        <v>1067438.6792162973</v>
      </c>
      <c r="K23" t="s">
        <v>121</v>
      </c>
      <c r="L23" t="s">
        <v>121</v>
      </c>
      <c r="U23" s="4"/>
    </row>
    <row r="24" spans="1:21" x14ac:dyDescent="0.2">
      <c r="A24" t="s">
        <v>6</v>
      </c>
      <c r="B24">
        <v>15.980137328944974</v>
      </c>
      <c r="C24" s="6">
        <f>M4</f>
        <v>475717.65192388924</v>
      </c>
      <c r="K24" t="s">
        <v>118</v>
      </c>
      <c r="L24" t="s">
        <v>119</v>
      </c>
      <c r="U24" s="4"/>
    </row>
    <row r="25" spans="1:21" x14ac:dyDescent="0.2">
      <c r="A25" t="s">
        <v>7</v>
      </c>
      <c r="B25">
        <v>27.750095871953938</v>
      </c>
      <c r="C25" s="6">
        <f>M6</f>
        <v>159313.28978461327</v>
      </c>
      <c r="K25">
        <f>(L25*0.001)/3600</f>
        <v>2.8666666666666668E-4</v>
      </c>
      <c r="L25">
        <v>1032</v>
      </c>
      <c r="M25" t="s">
        <v>126</v>
      </c>
      <c r="U25" s="4"/>
    </row>
    <row r="26" spans="1:21" x14ac:dyDescent="0.2">
      <c r="A26" t="s">
        <v>8</v>
      </c>
      <c r="B26">
        <v>324.58856942471942</v>
      </c>
      <c r="C26" s="6">
        <f>M8</f>
        <v>846203.74213809322</v>
      </c>
      <c r="U26" s="4"/>
    </row>
    <row r="27" spans="1:21" x14ac:dyDescent="0.2">
      <c r="A27" t="s">
        <v>9</v>
      </c>
      <c r="B27">
        <v>4.6555112340852203</v>
      </c>
      <c r="C27" s="6">
        <f>M10</f>
        <v>14706.509863830082</v>
      </c>
    </row>
    <row r="28" spans="1:21" x14ac:dyDescent="0.2">
      <c r="A28" t="s">
        <v>1</v>
      </c>
      <c r="B28">
        <v>152.60090694067435</v>
      </c>
      <c r="C28" s="6">
        <f>M12</f>
        <v>873936.62196771009</v>
      </c>
      <c r="G28" t="s">
        <v>6</v>
      </c>
    </row>
    <row r="29" spans="1:21" x14ac:dyDescent="0.2">
      <c r="A29" t="s">
        <v>2</v>
      </c>
      <c r="B29">
        <v>180.29416298866764</v>
      </c>
      <c r="C29" s="6">
        <f>M14</f>
        <v>235236.14185597672</v>
      </c>
      <c r="H29" t="s">
        <v>125</v>
      </c>
      <c r="J29" t="s">
        <v>120</v>
      </c>
      <c r="K29" t="s">
        <v>118</v>
      </c>
      <c r="L29" t="s">
        <v>119</v>
      </c>
    </row>
    <row r="30" spans="1:21" x14ac:dyDescent="0.2">
      <c r="A30" t="s">
        <v>3</v>
      </c>
      <c r="B30">
        <v>21.962099439999999</v>
      </c>
      <c r="C30" s="6">
        <f>M16</f>
        <v>216007.8335505455</v>
      </c>
      <c r="I30" t="s">
        <v>128</v>
      </c>
      <c r="J30">
        <v>-0.16</v>
      </c>
      <c r="K30">
        <f>J32*I4</f>
        <v>1.6879242622303435E-3</v>
      </c>
      <c r="L30">
        <f>(K30*36)*1000000</f>
        <v>60765.273440292367</v>
      </c>
      <c r="M30" t="s">
        <v>127</v>
      </c>
    </row>
    <row r="31" spans="1:21" x14ac:dyDescent="0.2">
      <c r="A31" t="s">
        <v>4</v>
      </c>
      <c r="B31">
        <v>14.341027141235186</v>
      </c>
      <c r="C31" s="6">
        <f>M18</f>
        <v>25763.432547415501</v>
      </c>
      <c r="I31" t="s">
        <v>129</v>
      </c>
      <c r="J31">
        <v>-0.69</v>
      </c>
    </row>
    <row r="32" spans="1:21" x14ac:dyDescent="0.2">
      <c r="B32" s="6"/>
      <c r="I32" t="s">
        <v>132</v>
      </c>
      <c r="J32">
        <f>J30-J31</f>
        <v>0.52999999999999992</v>
      </c>
    </row>
    <row r="34" spans="1:13" x14ac:dyDescent="0.2">
      <c r="B34" s="6"/>
      <c r="K34" t="s">
        <v>121</v>
      </c>
      <c r="L34" t="s">
        <v>121</v>
      </c>
    </row>
    <row r="35" spans="1:13" x14ac:dyDescent="0.2">
      <c r="G35" t="s">
        <v>4</v>
      </c>
      <c r="K35" t="s">
        <v>118</v>
      </c>
      <c r="L35" t="s">
        <v>136</v>
      </c>
    </row>
    <row r="36" spans="1:13" x14ac:dyDescent="0.2">
      <c r="A36" t="s">
        <v>68</v>
      </c>
      <c r="B36" s="6"/>
      <c r="K36">
        <f>(L36*0.001)/3600</f>
        <v>5.3055555555555555E-3</v>
      </c>
      <c r="L36">
        <v>19100</v>
      </c>
      <c r="M36" t="s">
        <v>133</v>
      </c>
    </row>
    <row r="37" spans="1:13" x14ac:dyDescent="0.2">
      <c r="A37" t="s">
        <v>70</v>
      </c>
      <c r="B37" t="s">
        <v>65</v>
      </c>
      <c r="C37" t="s">
        <v>69</v>
      </c>
      <c r="D37" t="s">
        <v>66</v>
      </c>
      <c r="E37" t="s">
        <v>67</v>
      </c>
      <c r="J37" t="s">
        <v>120</v>
      </c>
      <c r="K37" t="s">
        <v>118</v>
      </c>
      <c r="L37" t="s">
        <v>119</v>
      </c>
    </row>
    <row r="38" spans="1:13" x14ac:dyDescent="0.2">
      <c r="A38">
        <v>3.9447078898953992E-6</v>
      </c>
      <c r="B38">
        <f>A38*2</f>
        <v>7.8894157797907984E-6</v>
      </c>
      <c r="C38">
        <f>A38*0.69</f>
        <v>2.7218484440278254E-6</v>
      </c>
      <c r="D38">
        <f t="shared" ref="D38:D55" si="4">(2*A38*C38)/((A38^2)+(C38^2))</f>
        <v>0.93489600975543652</v>
      </c>
      <c r="E38">
        <f t="shared" ref="E38:E55" si="5">E2*D38</f>
        <v>9.4503628092475634E-3</v>
      </c>
      <c r="H38" s="13">
        <v>45800</v>
      </c>
      <c r="I38" t="s">
        <v>130</v>
      </c>
      <c r="J38">
        <v>-0.23</v>
      </c>
      <c r="K38">
        <f>J40*I18</f>
        <v>4.6940127014869423E-3</v>
      </c>
      <c r="L38">
        <f>(K38*36)*1000000</f>
        <v>168984.45725352992</v>
      </c>
      <c r="M38" t="s">
        <v>135</v>
      </c>
    </row>
    <row r="39" spans="1:13" x14ac:dyDescent="0.2">
      <c r="A39">
        <v>9.5150918379784379E-6</v>
      </c>
      <c r="B39">
        <f t="shared" ref="B39:B55" si="6">A39*2</f>
        <v>1.9030183675956876E-5</v>
      </c>
      <c r="C39">
        <f>B39*0.79</f>
        <v>1.5033845104005932E-5</v>
      </c>
      <c r="D39">
        <f t="shared" si="4"/>
        <v>0.90378675208786186</v>
      </c>
      <c r="E39">
        <f t="shared" si="5"/>
        <v>0.36016823730154751</v>
      </c>
      <c r="I39" t="s">
        <v>131</v>
      </c>
      <c r="J39">
        <v>-0.83</v>
      </c>
    </row>
    <row r="40" spans="1:13" x14ac:dyDescent="0.2">
      <c r="A40">
        <v>2.8638652662134877E-6</v>
      </c>
      <c r="B40">
        <f t="shared" si="6"/>
        <v>5.7277305324269754E-6</v>
      </c>
      <c r="C40">
        <f>A40*0.69</f>
        <v>1.9760670336873064E-6</v>
      </c>
      <c r="D40">
        <f t="shared" si="4"/>
        <v>0.93489600975543652</v>
      </c>
      <c r="E40">
        <f t="shared" si="5"/>
        <v>4.7021176602335566E-3</v>
      </c>
      <c r="I40" t="s">
        <v>132</v>
      </c>
      <c r="J40">
        <f>J38-J39</f>
        <v>0.6</v>
      </c>
    </row>
    <row r="41" spans="1:13" x14ac:dyDescent="0.2">
      <c r="A41">
        <v>1.1855467471975715E-5</v>
      </c>
      <c r="B41">
        <f t="shared" si="6"/>
        <v>2.3710934943951429E-5</v>
      </c>
      <c r="C41">
        <f>B41*0.79</f>
        <v>1.8731638605721629E-5</v>
      </c>
      <c r="D41">
        <f t="shared" si="4"/>
        <v>0.90378675208786197</v>
      </c>
      <c r="E41">
        <f t="shared" si="5"/>
        <v>0.76470380616226352</v>
      </c>
    </row>
    <row r="42" spans="1:13" x14ac:dyDescent="0.2">
      <c r="A42">
        <v>3.9737291970577394E-6</v>
      </c>
      <c r="B42">
        <f t="shared" si="6"/>
        <v>7.9474583941154787E-6</v>
      </c>
      <c r="C42">
        <f>A42*0.69</f>
        <v>2.7418731459698399E-6</v>
      </c>
      <c r="D42">
        <f t="shared" si="4"/>
        <v>0.93489600975543674</v>
      </c>
      <c r="E42">
        <f t="shared" si="5"/>
        <v>1.7222591520813027E-2</v>
      </c>
    </row>
    <row r="43" spans="1:13" x14ac:dyDescent="0.2">
      <c r="A43">
        <v>1.1392050223224078E-5</v>
      </c>
      <c r="B43">
        <f t="shared" si="6"/>
        <v>2.2784100446448157E-5</v>
      </c>
      <c r="C43">
        <f>B43*0.79</f>
        <v>1.7999439352694046E-5</v>
      </c>
      <c r="D43">
        <f t="shared" si="4"/>
        <v>0.90378675208786174</v>
      </c>
      <c r="E43">
        <f t="shared" si="5"/>
        <v>0.53757752279103199</v>
      </c>
      <c r="G43" s="4"/>
    </row>
    <row r="44" spans="1:13" x14ac:dyDescent="0.2">
      <c r="A44">
        <v>3.4085647549750528E-6</v>
      </c>
      <c r="B44">
        <f t="shared" si="6"/>
        <v>6.8171295099501056E-6</v>
      </c>
      <c r="C44">
        <f>A44*0.69</f>
        <v>2.3519096809327864E-6</v>
      </c>
      <c r="D44">
        <f t="shared" si="4"/>
        <v>0.93489600975543652</v>
      </c>
      <c r="E44">
        <f t="shared" si="5"/>
        <v>9.5046639811565258E-3</v>
      </c>
      <c r="G44" s="4"/>
    </row>
    <row r="45" spans="1:13" x14ac:dyDescent="0.2">
      <c r="A45">
        <v>9.540610062163369E-6</v>
      </c>
      <c r="B45">
        <f t="shared" si="6"/>
        <v>1.9081220124326738E-5</v>
      </c>
      <c r="C45">
        <f>B45*0.79</f>
        <v>1.5074163898218124E-5</v>
      </c>
      <c r="D45">
        <f t="shared" si="4"/>
        <v>0.90378675208786174</v>
      </c>
      <c r="E45">
        <f t="shared" si="5"/>
        <v>0.30219829849337704</v>
      </c>
      <c r="G45" s="4"/>
    </row>
    <row r="46" spans="1:13" x14ac:dyDescent="0.2">
      <c r="A46">
        <v>5.5508204613628374E-6</v>
      </c>
      <c r="B46">
        <f t="shared" si="6"/>
        <v>1.1101640922725675E-5</v>
      </c>
      <c r="C46">
        <f>A46*0.69</f>
        <v>3.8300661183403574E-6</v>
      </c>
      <c r="D46">
        <f t="shared" si="4"/>
        <v>0.93489600975543663</v>
      </c>
      <c r="E46">
        <f t="shared" si="5"/>
        <v>4.8796313529974988E-2</v>
      </c>
    </row>
    <row r="47" spans="1:13" x14ac:dyDescent="0.2">
      <c r="A47">
        <v>1.5379800820041051E-5</v>
      </c>
      <c r="B47">
        <f t="shared" si="6"/>
        <v>3.0759601640082102E-5</v>
      </c>
      <c r="C47">
        <f>B47*0.79</f>
        <v>2.4300085295664863E-5</v>
      </c>
      <c r="D47">
        <f t="shared" si="4"/>
        <v>0.90378675208786186</v>
      </c>
      <c r="E47">
        <f t="shared" si="5"/>
        <v>1.7216672936181432</v>
      </c>
    </row>
    <row r="48" spans="1:13" x14ac:dyDescent="0.2">
      <c r="A48">
        <v>3.0397148171416321E-6</v>
      </c>
      <c r="B48">
        <f t="shared" si="6"/>
        <v>6.0794296342832642E-6</v>
      </c>
      <c r="C48">
        <f>A48*0.69</f>
        <v>2.0974032238277261E-6</v>
      </c>
      <c r="D48">
        <f t="shared" si="4"/>
        <v>0.93489600975543674</v>
      </c>
      <c r="E48">
        <f t="shared" si="5"/>
        <v>7.1704068088525559E-3</v>
      </c>
    </row>
    <row r="49" spans="1:14" x14ac:dyDescent="0.2">
      <c r="A49">
        <v>1.0296078113928704E-5</v>
      </c>
      <c r="B49">
        <f t="shared" si="6"/>
        <v>2.0592156227857408E-5</v>
      </c>
      <c r="C49">
        <f>B49*0.79</f>
        <v>1.6267803420007354E-5</v>
      </c>
      <c r="D49">
        <f t="shared" si="4"/>
        <v>0.90378675208786163</v>
      </c>
      <c r="E49">
        <f t="shared" si="5"/>
        <v>0.59843121540130406</v>
      </c>
    </row>
    <row r="50" spans="1:14" x14ac:dyDescent="0.2">
      <c r="A50">
        <v>3.2873644458826822E-6</v>
      </c>
      <c r="B50">
        <f t="shared" si="6"/>
        <v>6.5747288917653644E-6</v>
      </c>
      <c r="C50">
        <f>A50*0.69</f>
        <v>2.2682814676590507E-6</v>
      </c>
      <c r="D50">
        <f t="shared" si="4"/>
        <v>0.93489600975543663</v>
      </c>
      <c r="E50">
        <f t="shared" si="5"/>
        <v>9.8085282910131723E-3</v>
      </c>
    </row>
    <row r="51" spans="1:14" x14ac:dyDescent="0.2">
      <c r="A51">
        <v>7.6126638685896075E-6</v>
      </c>
      <c r="B51">
        <f t="shared" si="6"/>
        <v>1.5225327737179215E-5</v>
      </c>
      <c r="C51">
        <f>B51*0.79</f>
        <v>1.2028008912371581E-5</v>
      </c>
      <c r="D51">
        <f t="shared" si="4"/>
        <v>0.90378675208786186</v>
      </c>
      <c r="E51">
        <f t="shared" si="5"/>
        <v>0.17884365670381819</v>
      </c>
    </row>
    <row r="52" spans="1:14" x14ac:dyDescent="0.2">
      <c r="A52">
        <v>3.7855601985837959E-6</v>
      </c>
      <c r="B52">
        <f t="shared" si="6"/>
        <v>7.5711203971675918E-6</v>
      </c>
      <c r="C52">
        <f>A52*0.69</f>
        <v>2.6120365370228191E-6</v>
      </c>
      <c r="D52">
        <f t="shared" si="4"/>
        <v>0.93489600975543663</v>
      </c>
      <c r="E52">
        <f t="shared" si="5"/>
        <v>1.7247774325792005E-2</v>
      </c>
    </row>
    <row r="53" spans="1:14" x14ac:dyDescent="0.2">
      <c r="A53">
        <v>1.2865905899897505E-5</v>
      </c>
      <c r="B53">
        <f t="shared" si="6"/>
        <v>2.5731811799795011E-5</v>
      </c>
      <c r="C53">
        <f>B53*0.79</f>
        <v>2.032813132183806E-5</v>
      </c>
      <c r="D53">
        <f t="shared" si="4"/>
        <v>0.90378675208786174</v>
      </c>
      <c r="E53">
        <f t="shared" si="5"/>
        <v>1.4591112524290837</v>
      </c>
    </row>
    <row r="54" spans="1:14" x14ac:dyDescent="0.2">
      <c r="A54">
        <v>5.3741164633481407E-6</v>
      </c>
      <c r="B54">
        <f t="shared" si="6"/>
        <v>1.0748232926696281E-5</v>
      </c>
      <c r="C54">
        <f>A54*0.69</f>
        <v>3.7081403597102169E-6</v>
      </c>
      <c r="D54">
        <f t="shared" si="4"/>
        <v>0.93489600975543663</v>
      </c>
      <c r="E54">
        <f t="shared" si="5"/>
        <v>4.7400434028856984E-2</v>
      </c>
    </row>
    <row r="55" spans="1:14" x14ac:dyDescent="0.2">
      <c r="A55">
        <v>1.4451200535072439E-5</v>
      </c>
      <c r="B55">
        <f t="shared" si="6"/>
        <v>2.8902401070144878E-5</v>
      </c>
      <c r="C55">
        <f>B55*0.79</f>
        <v>2.2832896845414456E-5</v>
      </c>
      <c r="D55">
        <f t="shared" si="4"/>
        <v>0.90378675208786186</v>
      </c>
      <c r="E55">
        <f t="shared" si="5"/>
        <v>1.1430383473215318</v>
      </c>
    </row>
    <row r="58" spans="1:14" x14ac:dyDescent="0.2">
      <c r="B58" t="s">
        <v>52</v>
      </c>
      <c r="C58" t="s">
        <v>55</v>
      </c>
      <c r="D58" t="s">
        <v>54</v>
      </c>
      <c r="E58" t="s">
        <v>53</v>
      </c>
      <c r="F58" t="s">
        <v>63</v>
      </c>
      <c r="G58" t="s">
        <v>57</v>
      </c>
      <c r="H58" t="s">
        <v>56</v>
      </c>
      <c r="I58" t="s">
        <v>134</v>
      </c>
      <c r="J58" t="s">
        <v>59</v>
      </c>
      <c r="K58" t="s">
        <v>137</v>
      </c>
    </row>
    <row r="59" spans="1:14" x14ac:dyDescent="0.2">
      <c r="A59" t="s">
        <v>35</v>
      </c>
      <c r="B59">
        <v>3.3934486892371403E-6</v>
      </c>
      <c r="C59" s="4">
        <v>1945044766.9033651</v>
      </c>
      <c r="D59">
        <v>1.6681856990561855E-3</v>
      </c>
      <c r="E59" s="9">
        <f>(C59*((PI()*B59^4)/(8*0.000000001)))*998*0.1</f>
        <v>1.0108464161398789E-2</v>
      </c>
      <c r="F59" s="8">
        <f>0.9*E60+0.1*E59</f>
        <v>0.35967002439431001</v>
      </c>
      <c r="G59">
        <v>1.8</v>
      </c>
      <c r="H59" s="4">
        <f t="shared" ref="H59:H76" si="7">(E59*D59)/G59</f>
        <v>9.3682196408152443E-6</v>
      </c>
      <c r="I59" s="8">
        <f>0.9*H60+0.1*H59</f>
        <v>3.3333132837432076E-4</v>
      </c>
      <c r="J59" s="6">
        <f>1/I59</f>
        <v>3000.0180447396501</v>
      </c>
      <c r="K59">
        <v>1666.6766915220278</v>
      </c>
      <c r="L59" s="8"/>
    </row>
    <row r="60" spans="1:14" x14ac:dyDescent="0.2">
      <c r="A60" t="s">
        <v>34</v>
      </c>
      <c r="B60">
        <v>9.4057424405693868E-6</v>
      </c>
      <c r="C60" s="4">
        <v>1299202009.309938</v>
      </c>
      <c r="D60">
        <v>1.6681856990561855E-3</v>
      </c>
      <c r="E60" s="9">
        <f t="shared" ref="E60:E76" si="8">(C60*((PI()*B60^4)/(8*0.000000001)))*998*0.1</f>
        <v>0.39851019775352237</v>
      </c>
      <c r="F60" s="6"/>
      <c r="G60">
        <v>1.8</v>
      </c>
      <c r="H60" s="4">
        <f t="shared" si="7"/>
        <v>3.6932722934471024E-4</v>
      </c>
      <c r="I60" s="8"/>
      <c r="J60" s="6"/>
      <c r="L60" s="8"/>
    </row>
    <row r="61" spans="1:14" x14ac:dyDescent="0.2">
      <c r="A61" t="s">
        <v>36</v>
      </c>
      <c r="B61">
        <v>2.8638652662134877E-6</v>
      </c>
      <c r="C61" s="4">
        <v>1907785001.1622787</v>
      </c>
      <c r="D61">
        <v>5.0153563219152587E-3</v>
      </c>
      <c r="E61" s="9">
        <f t="shared" si="8"/>
        <v>5.0295622306309809E-3</v>
      </c>
      <c r="F61" s="6">
        <f>0.9*E62+0.1*E61</f>
        <v>0.76200275023545672</v>
      </c>
      <c r="G61">
        <v>1.2</v>
      </c>
      <c r="H61" s="4">
        <f t="shared" si="7"/>
        <v>2.1020872274884418E-5</v>
      </c>
      <c r="I61" s="8">
        <f>0.9*H62+0.1*H61</f>
        <v>3.1847627589251769E-3</v>
      </c>
      <c r="J61" s="6">
        <f t="shared" ref="J61" si="9">1/I61</f>
        <v>313.99513109651195</v>
      </c>
      <c r="K61">
        <v>261.66260924709331</v>
      </c>
      <c r="L61" s="8"/>
    </row>
    <row r="62" spans="1:14" x14ac:dyDescent="0.2">
      <c r="A62" t="s">
        <v>37</v>
      </c>
      <c r="B62">
        <v>1.1855467471975715E-5</v>
      </c>
      <c r="C62" s="4">
        <v>1092853935.7065306</v>
      </c>
      <c r="D62">
        <v>5.0153563219152587E-3</v>
      </c>
      <c r="E62" s="9">
        <f t="shared" si="8"/>
        <v>0.84611088223599296</v>
      </c>
      <c r="F62" s="6"/>
      <c r="G62">
        <v>1.2</v>
      </c>
      <c r="H62" s="4">
        <f t="shared" si="7"/>
        <v>3.5362896352196535E-3</v>
      </c>
      <c r="I62" s="8"/>
      <c r="J62" s="6"/>
      <c r="L62" s="8"/>
      <c r="N62" t="s">
        <v>138</v>
      </c>
    </row>
    <row r="63" spans="1:14" x14ac:dyDescent="0.2">
      <c r="A63" s="1" t="s">
        <v>40</v>
      </c>
      <c r="B63">
        <v>3.9737291970577394E-6</v>
      </c>
      <c r="C63" s="4">
        <v>1885175116.9630623</v>
      </c>
      <c r="D63">
        <v>4.0887828386471153E-3</v>
      </c>
      <c r="E63" s="9">
        <f t="shared" si="8"/>
        <v>1.8421932857878336E-2</v>
      </c>
      <c r="F63" s="6">
        <f>0.9*E64+0.1*E63</f>
        <v>0.53716733430411323</v>
      </c>
      <c r="G63">
        <v>1.2</v>
      </c>
      <c r="H63" s="4">
        <f t="shared" si="7"/>
        <v>6.2769402436668633E-5</v>
      </c>
      <c r="I63" s="8">
        <f>0.9*H64+0.1*H63</f>
        <v>1.8303004816537301E-3</v>
      </c>
      <c r="J63" s="6">
        <f t="shared" ref="J63" si="10">1/I63</f>
        <v>546.35837668384954</v>
      </c>
      <c r="K63">
        <v>455.2986472365414</v>
      </c>
      <c r="L63" s="8"/>
    </row>
    <row r="64" spans="1:14" x14ac:dyDescent="0.2">
      <c r="A64" s="1" t="s">
        <v>41</v>
      </c>
      <c r="B64">
        <v>1.1392050223224078E-5</v>
      </c>
      <c r="C64" s="4">
        <v>901108611.14501977</v>
      </c>
      <c r="D64">
        <v>4.0887828386471153E-3</v>
      </c>
      <c r="E64" s="9">
        <f t="shared" si="8"/>
        <v>0.59480571224258372</v>
      </c>
      <c r="F64" s="6"/>
      <c r="G64">
        <v>1.2</v>
      </c>
      <c r="H64" s="4">
        <f t="shared" si="7"/>
        <v>2.026692823788959E-3</v>
      </c>
      <c r="I64" s="8"/>
      <c r="J64" s="6"/>
      <c r="L64" s="8"/>
    </row>
    <row r="65" spans="1:17" x14ac:dyDescent="0.2">
      <c r="A65" s="1" t="s">
        <v>38</v>
      </c>
      <c r="B65">
        <v>3.4085647549750528E-6</v>
      </c>
      <c r="C65" s="4">
        <v>1921749773.7200744</v>
      </c>
      <c r="D65">
        <v>2.0923007072908058E-3</v>
      </c>
      <c r="E65" s="9">
        <f t="shared" si="8"/>
        <v>1.0166546741003731E-2</v>
      </c>
      <c r="F65" s="6">
        <f>0.9*E66+0.1*E65</f>
        <v>0.30194878054973934</v>
      </c>
      <c r="G65">
        <v>1.8</v>
      </c>
      <c r="H65" s="4">
        <f t="shared" si="7"/>
        <v>1.1817484964948412E-5</v>
      </c>
      <c r="I65" s="8">
        <f>0.9*H66+0.1*H65</f>
        <v>3.5098202617211993E-4</v>
      </c>
      <c r="J65" s="6">
        <f t="shared" ref="J65" si="11">1/I65</f>
        <v>2849.1487467497973</v>
      </c>
      <c r="K65">
        <v>1582.8604148609984</v>
      </c>
      <c r="L65" s="8"/>
    </row>
    <row r="66" spans="1:17" x14ac:dyDescent="0.2">
      <c r="A66" s="1" t="s">
        <v>39</v>
      </c>
      <c r="B66">
        <v>9.540610062163369E-6</v>
      </c>
      <c r="C66" s="4">
        <v>1029748179.181354</v>
      </c>
      <c r="D66">
        <v>2.0923007072908058E-3</v>
      </c>
      <c r="E66" s="9">
        <f t="shared" si="8"/>
        <v>0.33436902875070995</v>
      </c>
      <c r="F66" s="6"/>
      <c r="G66">
        <v>1.8</v>
      </c>
      <c r="H66" s="4">
        <f t="shared" si="7"/>
        <v>3.8866697519513902E-4</v>
      </c>
      <c r="I66" s="8"/>
      <c r="J66" s="6"/>
      <c r="L66" s="8"/>
      <c r="N66" t="s">
        <v>140</v>
      </c>
      <c r="O66" t="s">
        <v>139</v>
      </c>
      <c r="P66" t="s">
        <v>141</v>
      </c>
      <c r="Q66" t="s">
        <v>52</v>
      </c>
    </row>
    <row r="67" spans="1:17" x14ac:dyDescent="0.2">
      <c r="A67" s="1" t="s">
        <v>42</v>
      </c>
      <c r="B67">
        <v>5.5508204613628374E-6</v>
      </c>
      <c r="C67" s="4">
        <v>1402828427.1260099</v>
      </c>
      <c r="D67">
        <v>2.0583715066320309E-2</v>
      </c>
      <c r="E67" s="9">
        <f t="shared" si="8"/>
        <v>5.2194375653330495E-2</v>
      </c>
      <c r="F67" s="6">
        <f>0.9*E68+0.1*E67</f>
        <v>1.7196731631557849</v>
      </c>
      <c r="G67">
        <v>1.58</v>
      </c>
      <c r="H67" s="4">
        <f t="shared" si="7"/>
        <v>6.7997098513458275E-4</v>
      </c>
      <c r="I67" s="8">
        <f>0.9*H68+0.1*H67</f>
        <v>2.2403330631390144E-2</v>
      </c>
      <c r="J67" s="6">
        <f t="shared" ref="J67" si="12">1/I67</f>
        <v>44.636220232310578</v>
      </c>
      <c r="K67">
        <v>28.250772298930737</v>
      </c>
      <c r="L67" s="8"/>
      <c r="M67" t="s">
        <v>5</v>
      </c>
      <c r="N67">
        <v>5.9999639107377741E-4</v>
      </c>
      <c r="O67">
        <v>0.35967002439431001</v>
      </c>
      <c r="P67">
        <v>259</v>
      </c>
      <c r="Q67">
        <v>9.4057424405693868E-6</v>
      </c>
    </row>
    <row r="68" spans="1:17" x14ac:dyDescent="0.2">
      <c r="A68" s="1" t="s">
        <v>43</v>
      </c>
      <c r="B68">
        <v>1.5379800820041051E-5</v>
      </c>
      <c r="C68" s="4">
        <v>868740337.05044556</v>
      </c>
      <c r="D68">
        <v>2.0583715066320309E-2</v>
      </c>
      <c r="E68" s="9">
        <f t="shared" si="8"/>
        <v>1.9049485839893909</v>
      </c>
      <c r="F68" s="6"/>
      <c r="G68">
        <v>1.58</v>
      </c>
      <c r="H68" s="4">
        <f t="shared" si="7"/>
        <v>2.4817037258751874E-2</v>
      </c>
      <c r="I68" s="8"/>
      <c r="J68" s="6"/>
      <c r="L68" s="8"/>
      <c r="M68" t="s">
        <v>6</v>
      </c>
      <c r="N68">
        <v>3.8217153107102117E-3</v>
      </c>
      <c r="O68">
        <v>0.76200275023545672</v>
      </c>
      <c r="P68">
        <v>85</v>
      </c>
      <c r="Q68">
        <v>1.1855467471975715E-5</v>
      </c>
    </row>
    <row r="69" spans="1:17" x14ac:dyDescent="0.2">
      <c r="A69" t="s">
        <v>44</v>
      </c>
      <c r="B69">
        <v>3.0397148171416321E-6</v>
      </c>
      <c r="C69" s="4">
        <v>2292232684.6603961</v>
      </c>
      <c r="D69">
        <v>3.2821789248379334E-3</v>
      </c>
      <c r="E69" s="9">
        <f t="shared" si="8"/>
        <v>7.6697373119907659E-3</v>
      </c>
      <c r="F69" s="6">
        <f>0.8*E70+0.2*E69</f>
        <v>0.53124404911533984</v>
      </c>
      <c r="G69">
        <v>2.2000000000000002</v>
      </c>
      <c r="H69" s="4">
        <f t="shared" si="7"/>
        <v>1.144247734748147E-5</v>
      </c>
      <c r="I69" s="8">
        <f>0.8*H70+0.2*H69</f>
        <v>7.9256273725088016E-4</v>
      </c>
      <c r="J69" s="6">
        <f t="shared" ref="J69" si="13">1/I69</f>
        <v>1261.7297697702095</v>
      </c>
      <c r="K69">
        <v>573.51353171373148</v>
      </c>
      <c r="L69" s="8"/>
      <c r="M69" t="s">
        <v>7</v>
      </c>
      <c r="N69">
        <v>2.1963605779844759E-3</v>
      </c>
      <c r="O69">
        <v>0.53716733430411323</v>
      </c>
      <c r="P69">
        <v>96</v>
      </c>
      <c r="Q69">
        <v>1.1392050223224078E-5</v>
      </c>
    </row>
    <row r="70" spans="1:17" x14ac:dyDescent="0.2">
      <c r="A70" t="s">
        <v>45</v>
      </c>
      <c r="B70">
        <v>1.0296078113928704E-5</v>
      </c>
      <c r="C70" s="4">
        <v>1503386083.965745</v>
      </c>
      <c r="D70">
        <v>3.2821789248379334E-3</v>
      </c>
      <c r="E70" s="9">
        <f t="shared" si="8"/>
        <v>0.66213762706617718</v>
      </c>
      <c r="F70" s="6"/>
      <c r="G70">
        <v>2.2000000000000002</v>
      </c>
      <c r="H70" s="4">
        <f t="shared" si="7"/>
        <v>9.8784280222672977E-4</v>
      </c>
      <c r="I70" s="8"/>
      <c r="J70" s="6"/>
      <c r="L70" s="8"/>
      <c r="M70" t="s">
        <v>8</v>
      </c>
      <c r="N70">
        <v>6.3176764710981591E-4</v>
      </c>
      <c r="O70">
        <v>0.30194878054973934</v>
      </c>
      <c r="P70">
        <v>196</v>
      </c>
      <c r="Q70">
        <v>9.540610062163369E-6</v>
      </c>
    </row>
    <row r="71" spans="1:17" x14ac:dyDescent="0.2">
      <c r="A71" t="s">
        <v>46</v>
      </c>
      <c r="B71">
        <v>3.2873644458826822E-6</v>
      </c>
      <c r="C71" s="5">
        <v>2292232684.6603961</v>
      </c>
      <c r="D71">
        <v>4.0518691249674379E-3</v>
      </c>
      <c r="E71" s="9">
        <f t="shared" si="8"/>
        <v>1.0491571456785901E-2</v>
      </c>
      <c r="F71" s="6">
        <f>0.8*E72+0.2*E71</f>
        <v>0.16040438044306096</v>
      </c>
      <c r="G71">
        <v>1</v>
      </c>
      <c r="H71" s="4">
        <f t="shared" si="7"/>
        <v>4.2510474458140437E-5</v>
      </c>
      <c r="I71" s="8">
        <f>0.8*H72+0.2*H71</f>
        <v>6.4993755662676937E-4</v>
      </c>
      <c r="J71" s="6">
        <f t="shared" ref="J71" si="14">1/I71</f>
        <v>1538.6093476273077</v>
      </c>
      <c r="K71">
        <v>1538.6093476273077</v>
      </c>
      <c r="L71" s="8"/>
      <c r="M71" t="s">
        <v>9</v>
      </c>
      <c r="N71">
        <v>3.5397262397596434E-2</v>
      </c>
      <c r="O71">
        <v>1.7196731631557849</v>
      </c>
      <c r="P71" t="s">
        <v>142</v>
      </c>
      <c r="Q71">
        <v>1.5379800820041051E-5</v>
      </c>
    </row>
    <row r="72" spans="1:17" x14ac:dyDescent="0.2">
      <c r="A72" t="s">
        <v>47</v>
      </c>
      <c r="B72">
        <v>7.6126638685896075E-6</v>
      </c>
      <c r="C72" s="5">
        <v>1503386083.965745</v>
      </c>
      <c r="D72">
        <v>4.0518691249674379E-3</v>
      </c>
      <c r="E72" s="9">
        <f t="shared" si="8"/>
        <v>0.19788258268962972</v>
      </c>
      <c r="F72" s="6"/>
      <c r="G72">
        <v>1</v>
      </c>
      <c r="H72" s="4">
        <f t="shared" si="7"/>
        <v>8.017943271689266E-4</v>
      </c>
      <c r="I72" s="8"/>
      <c r="J72" s="6"/>
      <c r="L72" s="8"/>
      <c r="M72" t="s">
        <v>1</v>
      </c>
      <c r="N72">
        <v>1.7436380219519366E-3</v>
      </c>
      <c r="O72">
        <v>0.53124404911533984</v>
      </c>
      <c r="P72">
        <v>108</v>
      </c>
      <c r="Q72">
        <v>1.0296078113928704E-5</v>
      </c>
    </row>
    <row r="73" spans="1:17" x14ac:dyDescent="0.2">
      <c r="A73" s="1" t="s">
        <v>48</v>
      </c>
      <c r="B73">
        <v>3.7855601985837959E-6</v>
      </c>
      <c r="C73" s="5">
        <v>2292232684.6603961</v>
      </c>
      <c r="D73">
        <v>3.5130859848767782E-3</v>
      </c>
      <c r="E73" s="9">
        <f t="shared" si="8"/>
        <v>1.8448869335001145E-2</v>
      </c>
      <c r="F73" s="6">
        <f>0.8*E74+0.2*E73</f>
        <v>1.2952433391816962</v>
      </c>
      <c r="G73">
        <v>1.4</v>
      </c>
      <c r="H73" s="4">
        <f t="shared" si="7"/>
        <v>4.6294617355439638E-5</v>
      </c>
      <c r="I73" s="8">
        <f>0.8*H74+0.2*H73</f>
        <v>3.2502151584887259E-3</v>
      </c>
      <c r="J73" s="6">
        <f t="shared" ref="J73" si="15">1/I73</f>
        <v>307.67193900633231</v>
      </c>
      <c r="K73">
        <v>219.76567071880882</v>
      </c>
      <c r="L73" s="8"/>
      <c r="M73" t="s">
        <v>2</v>
      </c>
      <c r="N73">
        <v>6.4993755662676937E-4</v>
      </c>
      <c r="O73">
        <v>0.16040438044306096</v>
      </c>
      <c r="P73">
        <v>213</v>
      </c>
      <c r="Q73">
        <v>7.6126638685896075E-6</v>
      </c>
    </row>
    <row r="74" spans="1:17" x14ac:dyDescent="0.2">
      <c r="A74" s="1" t="s">
        <v>49</v>
      </c>
      <c r="B74">
        <v>1.2865905899897505E-5</v>
      </c>
      <c r="C74" s="5">
        <v>1503386083.965745</v>
      </c>
      <c r="D74">
        <v>3.5130859848767782E-3</v>
      </c>
      <c r="E74" s="9">
        <f t="shared" si="8"/>
        <v>1.6144419566433699</v>
      </c>
      <c r="F74" s="6"/>
      <c r="G74">
        <v>1.4</v>
      </c>
      <c r="H74" s="4">
        <f t="shared" si="7"/>
        <v>4.0511952937720471E-3</v>
      </c>
      <c r="I74" s="8"/>
      <c r="J74" s="6"/>
      <c r="L74" s="8"/>
      <c r="M74" t="s">
        <v>3</v>
      </c>
      <c r="N74">
        <v>4.5503012218842155E-3</v>
      </c>
      <c r="O74">
        <v>1.2952433391816962</v>
      </c>
      <c r="P74">
        <v>86</v>
      </c>
      <c r="Q74">
        <v>1.2865905899897505E-5</v>
      </c>
    </row>
    <row r="75" spans="1:17" x14ac:dyDescent="0.2">
      <c r="A75" s="1" t="s">
        <v>50</v>
      </c>
      <c r="B75">
        <v>5.3741164633481407E-6</v>
      </c>
      <c r="C75" s="4">
        <v>1550958901.7095528</v>
      </c>
      <c r="D75">
        <v>2.9091147972241493E-2</v>
      </c>
      <c r="E75" s="9">
        <f t="shared" si="8"/>
        <v>5.070129034057666E-2</v>
      </c>
      <c r="F75" s="6">
        <f>0.8*E76+0.2*E75</f>
        <v>1.0219172903655847</v>
      </c>
      <c r="G75">
        <v>3.8</v>
      </c>
      <c r="H75" s="4">
        <f t="shared" si="7"/>
        <v>3.8814703675823522E-4</v>
      </c>
      <c r="I75" s="8">
        <f>0.8*H76+0.2*H75</f>
        <v>7.8233545024782372E-3</v>
      </c>
      <c r="J75" s="6">
        <f t="shared" ref="J75" si="16">1/I75</f>
        <v>127.82240657549467</v>
      </c>
      <c r="K75">
        <v>33.637475414603855</v>
      </c>
      <c r="L75" s="8"/>
      <c r="M75" t="s">
        <v>4</v>
      </c>
      <c r="N75">
        <v>2.9728747109417301E-2</v>
      </c>
      <c r="O75">
        <v>1.0219172903655847</v>
      </c>
      <c r="P75" t="s">
        <v>142</v>
      </c>
      <c r="Q75">
        <v>1.4451200535072439E-5</v>
      </c>
    </row>
    <row r="76" spans="1:17" x14ac:dyDescent="0.2">
      <c r="A76" s="1" t="s">
        <v>51</v>
      </c>
      <c r="B76">
        <v>1.4451200535072439E-5</v>
      </c>
      <c r="C76" s="4">
        <v>739926688.03710067</v>
      </c>
      <c r="D76">
        <v>2.9091147972241493E-2</v>
      </c>
      <c r="E76" s="9">
        <f t="shared" si="8"/>
        <v>1.2647212903718366</v>
      </c>
      <c r="F76" s="6"/>
      <c r="G76">
        <v>3.8</v>
      </c>
      <c r="H76" s="4">
        <f t="shared" si="7"/>
        <v>9.6821563689082381E-3</v>
      </c>
      <c r="I76" s="4"/>
      <c r="K76" s="14"/>
      <c r="L76" s="8"/>
    </row>
    <row r="80" spans="1:17" x14ac:dyDescent="0.2">
      <c r="F80" t="s">
        <v>52</v>
      </c>
      <c r="G80" t="s">
        <v>55</v>
      </c>
      <c r="H80" t="s">
        <v>53</v>
      </c>
      <c r="I80" t="s">
        <v>57</v>
      </c>
      <c r="J80" t="s">
        <v>56</v>
      </c>
      <c r="K80" t="s">
        <v>134</v>
      </c>
      <c r="L80" t="s">
        <v>143</v>
      </c>
    </row>
    <row r="81" spans="5:14" x14ac:dyDescent="0.2">
      <c r="E81" t="s">
        <v>35</v>
      </c>
      <c r="F81">
        <v>3.3934486892371403E-6</v>
      </c>
      <c r="G81">
        <v>1945044766.9033651</v>
      </c>
      <c r="H81">
        <v>1.0108464161398789E-2</v>
      </c>
      <c r="I81">
        <v>1.8</v>
      </c>
      <c r="J81">
        <v>1.6862795353467439E-5</v>
      </c>
      <c r="K81">
        <v>5.9999639107377741E-4</v>
      </c>
      <c r="L81">
        <v>1666.6766915220278</v>
      </c>
    </row>
    <row r="82" spans="5:14" x14ac:dyDescent="0.2">
      <c r="E82" t="s">
        <v>34</v>
      </c>
      <c r="F82">
        <v>9.4057424405693868E-6</v>
      </c>
      <c r="G82">
        <v>1299202009.309938</v>
      </c>
      <c r="H82">
        <v>0.39851019775352237</v>
      </c>
      <c r="I82">
        <v>1.8</v>
      </c>
      <c r="J82">
        <v>6.6478901282047845E-4</v>
      </c>
    </row>
    <row r="83" spans="5:14" x14ac:dyDescent="0.2">
      <c r="E83" t="s">
        <v>36</v>
      </c>
      <c r="F83">
        <v>2.8638652662134877E-6</v>
      </c>
      <c r="G83">
        <v>1907785001.1622787</v>
      </c>
      <c r="H83">
        <v>5.0295622306309809E-3</v>
      </c>
      <c r="I83">
        <v>1.2</v>
      </c>
      <c r="J83">
        <v>2.52250467298613E-5</v>
      </c>
      <c r="K83">
        <v>3.8217153107102117E-3</v>
      </c>
      <c r="L83">
        <v>261.66260924709331</v>
      </c>
    </row>
    <row r="84" spans="5:14" x14ac:dyDescent="0.2">
      <c r="E84" t="s">
        <v>37</v>
      </c>
      <c r="F84">
        <v>1.1855467471975715E-5</v>
      </c>
      <c r="G84">
        <v>1092853935.7065306</v>
      </c>
      <c r="H84">
        <v>0.84611088223599296</v>
      </c>
      <c r="I84">
        <v>1.2</v>
      </c>
      <c r="J84">
        <v>4.2435475622635841E-3</v>
      </c>
    </row>
    <row r="85" spans="5:14" x14ac:dyDescent="0.2">
      <c r="E85" t="s">
        <v>40</v>
      </c>
      <c r="F85">
        <v>3.9737291970577394E-6</v>
      </c>
      <c r="G85">
        <v>1885175116.9630623</v>
      </c>
      <c r="H85">
        <v>1.8421932857878336E-2</v>
      </c>
      <c r="I85">
        <v>1.2</v>
      </c>
      <c r="J85">
        <v>7.5323282924002352E-5</v>
      </c>
      <c r="K85">
        <v>2.1963605779844759E-3</v>
      </c>
      <c r="L85">
        <v>455.2986472365414</v>
      </c>
    </row>
    <row r="86" spans="5:14" x14ac:dyDescent="0.2">
      <c r="E86" t="s">
        <v>41</v>
      </c>
      <c r="F86">
        <v>1.1392050223224078E-5</v>
      </c>
      <c r="G86">
        <v>901108611.14501977</v>
      </c>
      <c r="H86">
        <v>0.59480571224258372</v>
      </c>
      <c r="I86">
        <v>1.2</v>
      </c>
      <c r="J86">
        <v>2.4320313885467506E-3</v>
      </c>
    </row>
    <row r="87" spans="5:14" x14ac:dyDescent="0.2">
      <c r="E87" t="s">
        <v>38</v>
      </c>
      <c r="F87">
        <v>3.4085647549750528E-6</v>
      </c>
      <c r="G87">
        <v>1921749773.7200744</v>
      </c>
      <c r="H87">
        <v>1.0166546741003731E-2</v>
      </c>
      <c r="I87">
        <v>1.8</v>
      </c>
      <c r="J87">
        <v>2.1271472936907142E-5</v>
      </c>
      <c r="K87">
        <v>6.3176764710981591E-4</v>
      </c>
      <c r="L87">
        <v>1582.8604148609984</v>
      </c>
      <c r="N87" s="1"/>
    </row>
    <row r="88" spans="5:14" x14ac:dyDescent="0.2">
      <c r="E88" t="s">
        <v>39</v>
      </c>
      <c r="F88">
        <v>9.540610062163369E-6</v>
      </c>
      <c r="G88">
        <v>1029748179.181354</v>
      </c>
      <c r="H88">
        <v>0.33436902875070995</v>
      </c>
      <c r="I88">
        <v>1.8</v>
      </c>
      <c r="J88">
        <v>6.9960055535125021E-4</v>
      </c>
      <c r="N88" s="1"/>
    </row>
    <row r="89" spans="5:14" x14ac:dyDescent="0.2">
      <c r="E89" t="s">
        <v>42</v>
      </c>
      <c r="F89">
        <v>5.5508204613628374E-6</v>
      </c>
      <c r="G89">
        <v>1402828427.1260099</v>
      </c>
      <c r="H89">
        <v>5.2194375653330495E-2</v>
      </c>
      <c r="I89">
        <v>1.58</v>
      </c>
      <c r="J89">
        <v>1.0743541565126408E-3</v>
      </c>
      <c r="K89">
        <v>3.5397262397596434E-2</v>
      </c>
      <c r="L89">
        <v>28.250772298930737</v>
      </c>
      <c r="N89" s="1"/>
    </row>
    <row r="90" spans="5:14" x14ac:dyDescent="0.2">
      <c r="E90" t="s">
        <v>43</v>
      </c>
      <c r="F90">
        <v>1.5379800820041051E-5</v>
      </c>
      <c r="G90">
        <v>868740337.05044556</v>
      </c>
      <c r="H90">
        <v>1.9049485839893909</v>
      </c>
      <c r="I90">
        <v>1.58</v>
      </c>
      <c r="J90">
        <v>3.9210918868827965E-2</v>
      </c>
      <c r="N90" s="1"/>
    </row>
    <row r="91" spans="5:14" x14ac:dyDescent="0.2">
      <c r="E91" t="s">
        <v>44</v>
      </c>
      <c r="F91">
        <v>3.0397148171416321E-6</v>
      </c>
      <c r="G91">
        <v>2292232684.6603961</v>
      </c>
      <c r="H91">
        <v>7.6697373119907659E-3</v>
      </c>
      <c r="I91">
        <v>2.2000000000000002</v>
      </c>
      <c r="J91">
        <v>2.5173450164459235E-5</v>
      </c>
      <c r="K91">
        <v>1.7436380219519366E-3</v>
      </c>
      <c r="L91">
        <v>573.51353171373148</v>
      </c>
      <c r="N91" s="1"/>
    </row>
    <row r="92" spans="5:14" x14ac:dyDescent="0.2">
      <c r="E92" t="s">
        <v>45</v>
      </c>
      <c r="F92">
        <v>1.0296078113928704E-5</v>
      </c>
      <c r="G92">
        <v>1503386083.965745</v>
      </c>
      <c r="H92">
        <v>0.66213762706617718</v>
      </c>
      <c r="I92">
        <v>2.2000000000000002</v>
      </c>
      <c r="J92">
        <v>2.1732541648988059E-3</v>
      </c>
      <c r="N92" s="1"/>
    </row>
    <row r="93" spans="5:14" x14ac:dyDescent="0.2">
      <c r="E93" t="s">
        <v>46</v>
      </c>
      <c r="F93">
        <v>3.2873644458826822E-6</v>
      </c>
      <c r="G93">
        <v>2292232684.6603961</v>
      </c>
      <c r="H93">
        <v>1.0491571456785901E-2</v>
      </c>
      <c r="I93">
        <v>1</v>
      </c>
      <c r="J93">
        <v>4.2510474458140437E-5</v>
      </c>
      <c r="K93">
        <v>6.4993755662676937E-4</v>
      </c>
      <c r="L93">
        <v>1538.6093476273077</v>
      </c>
    </row>
    <row r="94" spans="5:14" x14ac:dyDescent="0.2">
      <c r="E94" t="s">
        <v>47</v>
      </c>
      <c r="F94">
        <v>7.6126638685896075E-6</v>
      </c>
      <c r="G94">
        <v>1503386083.965745</v>
      </c>
      <c r="H94">
        <v>0.19788258268962972</v>
      </c>
      <c r="I94">
        <v>1</v>
      </c>
      <c r="J94">
        <v>8.017943271689266E-4</v>
      </c>
    </row>
    <row r="95" spans="5:14" x14ac:dyDescent="0.2">
      <c r="E95" t="s">
        <v>48</v>
      </c>
      <c r="F95">
        <v>3.7855601985837959E-6</v>
      </c>
      <c r="G95">
        <v>2292232684.6603961</v>
      </c>
      <c r="H95">
        <v>1.8448869335001145E-2</v>
      </c>
      <c r="I95">
        <v>1.4</v>
      </c>
      <c r="J95">
        <v>6.4812464297615493E-5</v>
      </c>
      <c r="K95">
        <v>4.5503012218842155E-3</v>
      </c>
      <c r="L95">
        <v>219.76567071880882</v>
      </c>
    </row>
    <row r="96" spans="5:14" x14ac:dyDescent="0.2">
      <c r="E96" t="s">
        <v>49</v>
      </c>
      <c r="F96">
        <v>1.2865905899897505E-5</v>
      </c>
      <c r="G96">
        <v>1503386083.965745</v>
      </c>
      <c r="H96">
        <v>1.6144419566433699</v>
      </c>
      <c r="I96">
        <v>1.4</v>
      </c>
      <c r="J96">
        <v>5.6716734112808656E-3</v>
      </c>
    </row>
    <row r="97" spans="5:14" x14ac:dyDescent="0.2">
      <c r="E97" t="s">
        <v>50</v>
      </c>
      <c r="F97">
        <v>5.3741164633481407E-6</v>
      </c>
      <c r="G97">
        <v>1550958901.7095528</v>
      </c>
      <c r="H97">
        <v>5.070129034057666E-2</v>
      </c>
      <c r="I97">
        <v>3.8</v>
      </c>
      <c r="J97">
        <v>1.4749587396812938E-3</v>
      </c>
      <c r="K97">
        <v>2.9728747109417301E-2</v>
      </c>
      <c r="L97">
        <v>33.637475414603855</v>
      </c>
      <c r="N97" s="1"/>
    </row>
    <row r="98" spans="5:14" x14ac:dyDescent="0.2">
      <c r="E98" t="s">
        <v>51</v>
      </c>
      <c r="F98">
        <v>1.4451200535072439E-5</v>
      </c>
      <c r="G98">
        <v>739926688.03710067</v>
      </c>
      <c r="H98">
        <v>1.2647212903718366</v>
      </c>
      <c r="I98">
        <v>3.8</v>
      </c>
      <c r="J98">
        <v>3.67921942018513E-2</v>
      </c>
      <c r="N98" s="1"/>
    </row>
    <row r="99" spans="5:14" x14ac:dyDescent="0.2">
      <c r="N99" s="1"/>
    </row>
    <row r="100" spans="5:14" x14ac:dyDescent="0.2">
      <c r="N100" s="1"/>
    </row>
  </sheetData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7D52B-3998-CC4C-AD54-BA0841FE2AF9}">
  <dimension ref="A1:AE76"/>
  <sheetViews>
    <sheetView workbookViewId="0">
      <selection activeCell="AB36" sqref="AB36"/>
    </sheetView>
  </sheetViews>
  <sheetFormatPr baseColWidth="10" defaultRowHeight="16" x14ac:dyDescent="0.2"/>
  <cols>
    <col min="1" max="1" width="18.1640625" customWidth="1"/>
    <col min="2" max="2" width="20.1640625" customWidth="1"/>
  </cols>
  <sheetData>
    <row r="1" spans="1:31" x14ac:dyDescent="0.2">
      <c r="A1" t="s">
        <v>0</v>
      </c>
      <c r="B1" t="s">
        <v>10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</v>
      </c>
      <c r="I1" t="s">
        <v>2</v>
      </c>
      <c r="J1" t="s">
        <v>3</v>
      </c>
      <c r="K1" t="s">
        <v>4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</row>
    <row r="2" spans="1:31" x14ac:dyDescent="0.2">
      <c r="A2">
        <v>2020</v>
      </c>
      <c r="B2">
        <v>1</v>
      </c>
      <c r="C2">
        <v>4.8907169811320736</v>
      </c>
      <c r="D2">
        <v>0.78457142857142859</v>
      </c>
      <c r="E2">
        <v>3.0588974358974355</v>
      </c>
      <c r="F2">
        <v>1.5093333333333334</v>
      </c>
      <c r="G2">
        <v>2.5411581920903936</v>
      </c>
      <c r="H2">
        <v>0.755</v>
      </c>
      <c r="I2">
        <v>1.391058823529411</v>
      </c>
      <c r="J2">
        <v>1.5090000000000001</v>
      </c>
      <c r="K2">
        <v>3.1120000000000001</v>
      </c>
      <c r="M2">
        <v>1</v>
      </c>
      <c r="N2">
        <f>AVERAGE(C2,C27,C52)</f>
        <v>3.8583144654088044</v>
      </c>
      <c r="O2">
        <f>STDEV(C2,C27,C52)</f>
        <v>0.91187723260223774</v>
      </c>
      <c r="P2">
        <f>AVERAGE(D2,D27,D52)</f>
        <v>1.6124003527336861</v>
      </c>
      <c r="Q2">
        <f>STDEV(D2,D27,D52)</f>
        <v>0.8680096662310679</v>
      </c>
      <c r="R2">
        <f>AVERAGE(E2,E27,E52)</f>
        <v>2.5289658119658118</v>
      </c>
      <c r="S2">
        <f>STDEV(E2,E27,E52)</f>
        <v>0.5942448102693928</v>
      </c>
      <c r="T2">
        <f>AVERAGE(F2,F27,F52)</f>
        <v>1.7714444444444446</v>
      </c>
      <c r="U2">
        <f>STDEV(F2,F27,F52)</f>
        <v>1.1697362634055277</v>
      </c>
      <c r="V2">
        <f>AVERAGE(G2,G27,G52)</f>
        <v>2.4625232836843001</v>
      </c>
      <c r="W2">
        <f>STDEV(G2,G27,G52)</f>
        <v>0.4790407253042922</v>
      </c>
      <c r="X2">
        <f>AVERAGE(H2,H27,H52)</f>
        <v>1.8019999999999998</v>
      </c>
      <c r="Y2">
        <f>STDEV(H2,H27,H52)</f>
        <v>0.90881186171836514</v>
      </c>
      <c r="Z2">
        <f>AVERAGE(I2,I27,I52)</f>
        <v>2.2808628439363754</v>
      </c>
      <c r="AA2">
        <f>STDEV(I2,I27,I52)</f>
        <v>0.89475102921312932</v>
      </c>
      <c r="AB2">
        <f>AVERAGE(J2,J27,J52)</f>
        <v>1.3134166666666667</v>
      </c>
      <c r="AC2">
        <f>STDEV(J2,J27,J52)</f>
        <v>0.22600281156068347</v>
      </c>
      <c r="AD2">
        <f>AVERAGE(K2,K27,K52)</f>
        <v>2.3725000000000005</v>
      </c>
      <c r="AE2">
        <f>STDEV(K2,K27,K52)</f>
        <v>0.67567050661000183</v>
      </c>
    </row>
    <row r="3" spans="1:31" x14ac:dyDescent="0.2">
      <c r="A3">
        <v>2020</v>
      </c>
      <c r="B3">
        <v>2</v>
      </c>
      <c r="C3">
        <v>5.81202953240361</v>
      </c>
      <c r="D3">
        <v>1.3080000000000001</v>
      </c>
      <c r="E3">
        <v>4.0945384615384599</v>
      </c>
      <c r="F3">
        <v>1.5093333333333334</v>
      </c>
      <c r="G3">
        <v>5.9737627118644037</v>
      </c>
      <c r="H3">
        <v>0.755</v>
      </c>
      <c r="I3">
        <v>1.525960784313724</v>
      </c>
      <c r="J3">
        <v>2.07525</v>
      </c>
      <c r="K3">
        <v>3.8479999999999994</v>
      </c>
      <c r="M3">
        <v>2</v>
      </c>
      <c r="N3">
        <f>AVERAGE(C3,C28,C53)</f>
        <v>4.7853809133169261</v>
      </c>
      <c r="O3">
        <f>STDEV(C3,C28,C53)</f>
        <v>1.1111660833063381</v>
      </c>
      <c r="P3">
        <f>AVERAGE(D3,D28,D53)</f>
        <v>2.0317478488589598</v>
      </c>
      <c r="Q3">
        <f>STDEV(D3,D28,D53)</f>
        <v>0.71277351012093493</v>
      </c>
      <c r="R3">
        <f t="shared" ref="R3:R26" si="0">AVERAGE(E3,E28,E53)</f>
        <v>4.1680604163542752</v>
      </c>
      <c r="S3">
        <f t="shared" ref="S3:S26" si="1">STDEV(E3,E28,E53)</f>
        <v>0.67523360992100678</v>
      </c>
      <c r="T3">
        <f t="shared" ref="T3:T26" si="2">AVERAGE(F3,F28,F53)</f>
        <v>1.7714444444444446</v>
      </c>
      <c r="U3">
        <f t="shared" ref="U3:U26" si="3">STDEV(F3,F28,F53)</f>
        <v>1.1697362634055277</v>
      </c>
      <c r="V3">
        <f t="shared" ref="V3:V26" si="4">AVERAGE(G3,G28,G53)</f>
        <v>5.5944086629001886</v>
      </c>
      <c r="W3">
        <f t="shared" ref="W3:W26" si="5">STDEV(G3,G28,G53)</f>
        <v>0.37126627216123254</v>
      </c>
      <c r="X3">
        <f t="shared" ref="X3:X26" si="6">AVERAGE(H3,H28,H53)</f>
        <v>1.8019999999999998</v>
      </c>
      <c r="Y3">
        <f t="shared" ref="Y3:Y26" si="7">STDEV(H3,H28,H53)</f>
        <v>0.90881186171836514</v>
      </c>
      <c r="Z3">
        <f t="shared" ref="Z3:Z26" si="8">AVERAGE(I3,I28,I53)</f>
        <v>3.4965326524003033</v>
      </c>
      <c r="AA3">
        <f t="shared" ref="AA3:AA26" si="9">STDEV(I3,I28,I53)</f>
        <v>1.8783426199994175</v>
      </c>
      <c r="AB3">
        <f t="shared" ref="AB3:AB26" si="10">AVERAGE(J3,J28,J53)</f>
        <v>1.5393988095238094</v>
      </c>
      <c r="AC3">
        <f t="shared" ref="AC3:AC26" si="11">STDEV(J3,J28,J53)</f>
        <v>0.5075151382372417</v>
      </c>
      <c r="AD3">
        <f t="shared" ref="AD3:AD26" si="12">AVERAGE(K3,K28,K53)</f>
        <v>3.6248255360623758</v>
      </c>
      <c r="AE3">
        <f t="shared" ref="AE3:AE26" si="13">STDEV(K3,K28,K53)</f>
        <v>0.21068067258663761</v>
      </c>
    </row>
    <row r="4" spans="1:31" x14ac:dyDescent="0.2">
      <c r="A4">
        <v>2020</v>
      </c>
      <c r="B4">
        <v>3</v>
      </c>
      <c r="C4">
        <v>8.2659360131255095</v>
      </c>
      <c r="D4">
        <v>2.6279523809523804</v>
      </c>
      <c r="E4">
        <v>4.6183942307692289</v>
      </c>
      <c r="F4">
        <v>1.5092916666666665</v>
      </c>
      <c r="G4">
        <v>9.8104519774011347</v>
      </c>
      <c r="H4">
        <v>0.755</v>
      </c>
      <c r="I4">
        <v>2.4243921568627456</v>
      </c>
      <c r="J4">
        <v>3.207749999999999</v>
      </c>
      <c r="K4">
        <v>2.2640000000000011</v>
      </c>
      <c r="M4">
        <v>3</v>
      </c>
      <c r="N4">
        <f t="shared" ref="N4:N26" si="14">AVERAGE(C4,C29,C54)</f>
        <v>6.1461296144380633</v>
      </c>
      <c r="O4">
        <f t="shared" ref="O4:O26" si="15">STDEV(C4,C29,C54)</f>
        <v>2.2565512415800932</v>
      </c>
      <c r="P4">
        <f t="shared" ref="P4:P26" si="16">AVERAGE(D4,D29,D54)</f>
        <v>2.900873015873016</v>
      </c>
      <c r="Q4">
        <f t="shared" ref="Q4:Q26" si="17">STDEV(D4,D29,D54)</f>
        <v>0.35883736528420829</v>
      </c>
      <c r="R4">
        <f t="shared" si="0"/>
        <v>5.4147740353376319</v>
      </c>
      <c r="S4">
        <f t="shared" si="1"/>
        <v>1.6679361735164904</v>
      </c>
      <c r="T4">
        <f t="shared" si="2"/>
        <v>1.7714305555555556</v>
      </c>
      <c r="U4">
        <f t="shared" si="3"/>
        <v>1.1697409319165193</v>
      </c>
      <c r="V4">
        <f t="shared" si="4"/>
        <v>8.6483903441191625</v>
      </c>
      <c r="W4">
        <f t="shared" si="5"/>
        <v>1.1957374166750789</v>
      </c>
      <c r="X4">
        <f t="shared" si="6"/>
        <v>1.8019999999999998</v>
      </c>
      <c r="Y4">
        <f t="shared" si="7"/>
        <v>0.90881186171836514</v>
      </c>
      <c r="Z4">
        <f t="shared" si="8"/>
        <v>4.1123028196263478</v>
      </c>
      <c r="AA4">
        <f t="shared" si="9"/>
        <v>1.9384798956089739</v>
      </c>
      <c r="AB4">
        <f t="shared" si="10"/>
        <v>2.3177986111111104</v>
      </c>
      <c r="AC4">
        <f t="shared" si="11"/>
        <v>0.77084185702869978</v>
      </c>
      <c r="AD4">
        <f t="shared" si="12"/>
        <v>3.2936203703703684</v>
      </c>
      <c r="AE4">
        <f t="shared" si="13"/>
        <v>0.90395446036812999</v>
      </c>
    </row>
    <row r="5" spans="1:31" x14ac:dyDescent="0.2">
      <c r="A5">
        <v>2020</v>
      </c>
      <c r="B5">
        <v>4</v>
      </c>
      <c r="C5">
        <v>9.6051780147662065</v>
      </c>
      <c r="D5">
        <v>3.9240476190476175</v>
      </c>
      <c r="E5">
        <v>5.2719807692307672</v>
      </c>
      <c r="F5">
        <v>1.5092499999999998</v>
      </c>
      <c r="G5">
        <v>10.566559322033896</v>
      </c>
      <c r="H5">
        <v>1.253107142857143</v>
      </c>
      <c r="I5">
        <v>2.3380196078431377</v>
      </c>
      <c r="J5">
        <v>4.6000833333333331</v>
      </c>
      <c r="K5">
        <v>4.1697499999999978</v>
      </c>
      <c r="M5">
        <v>4</v>
      </c>
      <c r="N5">
        <f t="shared" si="14"/>
        <v>7.4041536778780426</v>
      </c>
      <c r="O5">
        <f t="shared" si="15"/>
        <v>2.3849880744054941</v>
      </c>
      <c r="P5">
        <f t="shared" si="16"/>
        <v>4.1617407140184914</v>
      </c>
      <c r="Q5">
        <f t="shared" si="17"/>
        <v>0.65439729917778688</v>
      </c>
      <c r="R5">
        <f t="shared" si="0"/>
        <v>6.8564351102114252</v>
      </c>
      <c r="S5">
        <f t="shared" si="1"/>
        <v>3.5691493756215649</v>
      </c>
      <c r="T5">
        <f t="shared" si="2"/>
        <v>2.2024270833333333</v>
      </c>
      <c r="U5">
        <f t="shared" si="3"/>
        <v>0.76466090085362048</v>
      </c>
      <c r="V5">
        <f t="shared" si="4"/>
        <v>12.931610169491529</v>
      </c>
      <c r="W5">
        <f t="shared" si="5"/>
        <v>2.1289505392058521</v>
      </c>
      <c r="X5">
        <f t="shared" si="6"/>
        <v>2.2978928571428572</v>
      </c>
      <c r="Y5">
        <f t="shared" si="7"/>
        <v>0.94005738738740308</v>
      </c>
      <c r="Z5">
        <f t="shared" si="8"/>
        <v>4.7929868019279773</v>
      </c>
      <c r="AA5">
        <f t="shared" si="9"/>
        <v>2.1934627919631189</v>
      </c>
      <c r="AB5">
        <f t="shared" si="10"/>
        <v>3.2928373015873014</v>
      </c>
      <c r="AC5">
        <f t="shared" si="11"/>
        <v>1.335246258367252</v>
      </c>
      <c r="AD5">
        <f t="shared" si="12"/>
        <v>5.2605526315789488</v>
      </c>
      <c r="AE5">
        <f t="shared" si="13"/>
        <v>0.96046067554894077</v>
      </c>
    </row>
    <row r="6" spans="1:31" x14ac:dyDescent="0.2">
      <c r="A6">
        <v>2020</v>
      </c>
      <c r="B6">
        <v>5</v>
      </c>
      <c r="C6">
        <v>11.18541755537326</v>
      </c>
      <c r="D6">
        <v>5.3263809523809531</v>
      </c>
      <c r="E6">
        <v>6.6783365384615401</v>
      </c>
      <c r="F6">
        <v>1.5092499999999998</v>
      </c>
      <c r="G6">
        <v>10.64818079096046</v>
      </c>
      <c r="H6">
        <v>1.9172499999999997</v>
      </c>
      <c r="I6">
        <v>3.2035098039215693</v>
      </c>
      <c r="J6">
        <v>5.2962499999999997</v>
      </c>
      <c r="K6">
        <v>4.151250000000001</v>
      </c>
      <c r="M6">
        <v>5</v>
      </c>
      <c r="N6">
        <f t="shared" si="14"/>
        <v>8.5842712605961182</v>
      </c>
      <c r="O6">
        <f t="shared" si="15"/>
        <v>2.9247761286452616</v>
      </c>
      <c r="P6">
        <f t="shared" si="16"/>
        <v>5.6241251135695585</v>
      </c>
      <c r="Q6">
        <f t="shared" si="17"/>
        <v>1.2933260083585951</v>
      </c>
      <c r="R6">
        <f t="shared" si="0"/>
        <v>7.6990658831908831</v>
      </c>
      <c r="S6">
        <f t="shared" si="1"/>
        <v>2.9789424096346608</v>
      </c>
      <c r="T6">
        <f t="shared" si="2"/>
        <v>2.2639999999999998</v>
      </c>
      <c r="U6">
        <f t="shared" si="3"/>
        <v>0.75474999999999948</v>
      </c>
      <c r="V6">
        <f t="shared" si="4"/>
        <v>14.261974833076536</v>
      </c>
      <c r="W6">
        <f t="shared" si="5"/>
        <v>4.2734249845291536</v>
      </c>
      <c r="X6">
        <f t="shared" si="6"/>
        <v>2.9590833333333335</v>
      </c>
      <c r="Y6">
        <f t="shared" si="7"/>
        <v>1.1280033336977915</v>
      </c>
      <c r="Z6">
        <f t="shared" si="8"/>
        <v>5.0613445735651581</v>
      </c>
      <c r="AA6">
        <f t="shared" si="9"/>
        <v>1.6182449072143501</v>
      </c>
      <c r="AB6">
        <f t="shared" si="10"/>
        <v>5.0067916666666674</v>
      </c>
      <c r="AC6">
        <f t="shared" si="11"/>
        <v>0.50005806433686528</v>
      </c>
      <c r="AD6">
        <f t="shared" si="12"/>
        <v>6.0160599415204699</v>
      </c>
      <c r="AE6">
        <f t="shared" si="13"/>
        <v>1.8412132352388657</v>
      </c>
    </row>
    <row r="7" spans="1:31" x14ac:dyDescent="0.2">
      <c r="A7">
        <v>2020</v>
      </c>
      <c r="B7">
        <v>6</v>
      </c>
      <c r="C7">
        <v>12.436383921246925</v>
      </c>
      <c r="D7">
        <v>6.1096904761904751</v>
      </c>
      <c r="E7">
        <v>9.415461538461539</v>
      </c>
      <c r="F7">
        <v>3.0635000000000003</v>
      </c>
      <c r="G7">
        <v>15.470610169491504</v>
      </c>
      <c r="H7">
        <v>1.9172499999999997</v>
      </c>
      <c r="I7">
        <v>5.6407058823529432</v>
      </c>
      <c r="J7">
        <v>10.188749999999999</v>
      </c>
      <c r="K7">
        <v>5.1047499999999983</v>
      </c>
      <c r="M7">
        <v>6</v>
      </c>
      <c r="N7">
        <f t="shared" si="14"/>
        <v>10.602467596390484</v>
      </c>
      <c r="O7">
        <f t="shared" si="15"/>
        <v>1.6034866572568101</v>
      </c>
      <c r="P7">
        <f t="shared" si="16"/>
        <v>6.5868193843193863</v>
      </c>
      <c r="Q7">
        <f t="shared" si="17"/>
        <v>1.5415816636545749</v>
      </c>
      <c r="R7">
        <f t="shared" si="0"/>
        <v>9.2118588494027112</v>
      </c>
      <c r="S7">
        <f t="shared" si="1"/>
        <v>3.4240041128894139</v>
      </c>
      <c r="T7">
        <f t="shared" si="2"/>
        <v>2.7820833333333339</v>
      </c>
      <c r="U7">
        <f t="shared" si="3"/>
        <v>0.44923089367643509</v>
      </c>
      <c r="V7">
        <f t="shared" si="4"/>
        <v>16.283566341379906</v>
      </c>
      <c r="W7">
        <f t="shared" si="5"/>
        <v>3.705482368981583</v>
      </c>
      <c r="X7">
        <f t="shared" si="6"/>
        <v>2.9590833333333335</v>
      </c>
      <c r="Y7">
        <f t="shared" si="7"/>
        <v>1.1280033336977915</v>
      </c>
      <c r="Z7">
        <f t="shared" si="8"/>
        <v>5.3035554714378224</v>
      </c>
      <c r="AA7">
        <f t="shared" si="9"/>
        <v>0.6762892818822126</v>
      </c>
      <c r="AB7">
        <f t="shared" si="10"/>
        <v>7.2463988095238108</v>
      </c>
      <c r="AC7">
        <f t="shared" si="11"/>
        <v>2.6849891293017412</v>
      </c>
      <c r="AD7">
        <f t="shared" si="12"/>
        <v>7.2066359649122829</v>
      </c>
      <c r="AE7">
        <f t="shared" si="13"/>
        <v>2.5342365353755478</v>
      </c>
    </row>
    <row r="8" spans="1:31" x14ac:dyDescent="0.2">
      <c r="A8">
        <v>2020</v>
      </c>
      <c r="B8">
        <v>7</v>
      </c>
      <c r="C8">
        <v>13.018264150943399</v>
      </c>
      <c r="D8">
        <v>7.2430833333333382</v>
      </c>
      <c r="E8">
        <v>11.55980769230769</v>
      </c>
      <c r="F8">
        <v>3.0635000000000003</v>
      </c>
      <c r="G8">
        <v>18.770412429378521</v>
      </c>
      <c r="H8">
        <v>1.9172499999999997</v>
      </c>
      <c r="I8">
        <v>8.456421568627448</v>
      </c>
      <c r="J8">
        <v>12.138416666666664</v>
      </c>
      <c r="K8">
        <v>6.4150000000000009</v>
      </c>
      <c r="M8">
        <v>7</v>
      </c>
      <c r="N8">
        <f t="shared" si="14"/>
        <v>11.118440251572329</v>
      </c>
      <c r="O8">
        <f t="shared" si="15"/>
        <v>2.2770222938391669</v>
      </c>
      <c r="P8">
        <f t="shared" si="16"/>
        <v>8.077281799476248</v>
      </c>
      <c r="Q8">
        <f t="shared" si="17"/>
        <v>0.95300473164400745</v>
      </c>
      <c r="R8">
        <f t="shared" si="0"/>
        <v>10.838366046883591</v>
      </c>
      <c r="S8">
        <f t="shared" si="1"/>
        <v>3.9871298722446085</v>
      </c>
      <c r="T8">
        <f t="shared" si="2"/>
        <v>6.2920625000000001</v>
      </c>
      <c r="U8">
        <f t="shared" si="3"/>
        <v>3.0233377683809586</v>
      </c>
      <c r="V8">
        <f t="shared" si="4"/>
        <v>19.099447183701418</v>
      </c>
      <c r="W8">
        <f t="shared" si="5"/>
        <v>1.6693434470065944</v>
      </c>
      <c r="X8">
        <f t="shared" si="6"/>
        <v>2.9590833333333335</v>
      </c>
      <c r="Y8">
        <f t="shared" si="7"/>
        <v>1.1280033336977915</v>
      </c>
      <c r="Z8">
        <f t="shared" si="8"/>
        <v>7.3833532713385672</v>
      </c>
      <c r="AA8">
        <f t="shared" si="9"/>
        <v>0.97635663173582021</v>
      </c>
      <c r="AB8">
        <f t="shared" si="10"/>
        <v>9.082097222222222</v>
      </c>
      <c r="AC8">
        <f t="shared" si="11"/>
        <v>2.6540558069251476</v>
      </c>
      <c r="AD8">
        <f t="shared" si="12"/>
        <v>7.7358508771929868</v>
      </c>
      <c r="AE8">
        <f t="shared" si="13"/>
        <v>1.4192963600002713</v>
      </c>
    </row>
    <row r="9" spans="1:31" x14ac:dyDescent="0.2">
      <c r="A9">
        <v>2020</v>
      </c>
      <c r="B9">
        <v>8</v>
      </c>
      <c r="C9">
        <v>13.258165709598028</v>
      </c>
      <c r="D9">
        <v>7.9901428571428577</v>
      </c>
      <c r="E9">
        <v>13.809153846153833</v>
      </c>
      <c r="F9">
        <v>7.3863749999999992</v>
      </c>
      <c r="G9">
        <v>22.614237288135595</v>
      </c>
      <c r="H9">
        <v>4.2973214285714283</v>
      </c>
      <c r="I9">
        <v>11.769333333333336</v>
      </c>
      <c r="J9">
        <v>16.037749999999996</v>
      </c>
      <c r="K9">
        <v>6.8042499999999988</v>
      </c>
      <c r="M9">
        <v>8</v>
      </c>
      <c r="N9">
        <f t="shared" si="14"/>
        <v>13.134935739677333</v>
      </c>
      <c r="O9">
        <f t="shared" si="15"/>
        <v>2.3445056481580462</v>
      </c>
      <c r="P9">
        <f t="shared" si="16"/>
        <v>10.680847469403025</v>
      </c>
      <c r="Q9">
        <f t="shared" si="17"/>
        <v>3.0519387843083301</v>
      </c>
      <c r="R9">
        <f t="shared" si="0"/>
        <v>12.406197480881685</v>
      </c>
      <c r="S9">
        <f t="shared" si="1"/>
        <v>4.0778252719194752</v>
      </c>
      <c r="T9">
        <f t="shared" si="2"/>
        <v>8.9030138888888875</v>
      </c>
      <c r="U9">
        <f t="shared" si="3"/>
        <v>2.1162542972380995</v>
      </c>
      <c r="V9">
        <f t="shared" si="4"/>
        <v>22.309470809792838</v>
      </c>
      <c r="W9">
        <f t="shared" si="5"/>
        <v>1.3083201014405434</v>
      </c>
      <c r="X9">
        <f t="shared" si="6"/>
        <v>7.6277547619047636</v>
      </c>
      <c r="Y9">
        <f t="shared" si="7"/>
        <v>2.88942016201695</v>
      </c>
      <c r="Z9">
        <f t="shared" si="8"/>
        <v>9.8827522165022224</v>
      </c>
      <c r="AA9">
        <f t="shared" si="9"/>
        <v>1.9172759007600872</v>
      </c>
      <c r="AB9">
        <f t="shared" si="10"/>
        <v>11.236607142857141</v>
      </c>
      <c r="AC9">
        <f t="shared" si="11"/>
        <v>4.1604930316708391</v>
      </c>
      <c r="AD9">
        <f t="shared" si="12"/>
        <v>8.4091769005847983</v>
      </c>
      <c r="AE9">
        <f t="shared" si="13"/>
        <v>1.8930779572450569</v>
      </c>
    </row>
    <row r="10" spans="1:31" x14ac:dyDescent="0.2">
      <c r="A10">
        <v>2020</v>
      </c>
      <c r="B10">
        <v>9</v>
      </c>
      <c r="C10">
        <v>13.896308449548814</v>
      </c>
      <c r="D10">
        <v>10.249357142857146</v>
      </c>
      <c r="E10">
        <v>14.418471153846152</v>
      </c>
      <c r="F10">
        <v>11.709249999999999</v>
      </c>
      <c r="G10">
        <v>26.242406779661046</v>
      </c>
      <c r="H10">
        <v>4.694</v>
      </c>
      <c r="I10">
        <v>11.487392156862743</v>
      </c>
      <c r="J10">
        <v>19.061583333333331</v>
      </c>
      <c r="K10">
        <v>8.1299999999999972</v>
      </c>
      <c r="M10">
        <v>9</v>
      </c>
      <c r="N10">
        <f t="shared" si="14"/>
        <v>14.981159420289856</v>
      </c>
      <c r="O10">
        <f t="shared" si="15"/>
        <v>2.8450719609362052</v>
      </c>
      <c r="P10">
        <f t="shared" si="16"/>
        <v>13.149526455026455</v>
      </c>
      <c r="Q10">
        <f t="shared" si="17"/>
        <v>3.2837641024700575</v>
      </c>
      <c r="R10">
        <f t="shared" si="0"/>
        <v>14.15704594017094</v>
      </c>
      <c r="S10">
        <f t="shared" si="1"/>
        <v>3.9701273028963642</v>
      </c>
      <c r="T10">
        <f t="shared" si="2"/>
        <v>10.343972222222222</v>
      </c>
      <c r="U10">
        <f t="shared" si="3"/>
        <v>2.0374922500420576</v>
      </c>
      <c r="V10">
        <f t="shared" si="4"/>
        <v>26.036089368258882</v>
      </c>
      <c r="W10">
        <f t="shared" si="5"/>
        <v>0.64157302706477026</v>
      </c>
      <c r="X10">
        <f t="shared" si="6"/>
        <v>8.4058666666666682</v>
      </c>
      <c r="Y10">
        <f t="shared" si="7"/>
        <v>3.2299286018940601</v>
      </c>
      <c r="Z10">
        <f t="shared" si="8"/>
        <v>10.475887404210939</v>
      </c>
      <c r="AA10">
        <f t="shared" si="9"/>
        <v>1.0579238940906706</v>
      </c>
      <c r="AB10">
        <f t="shared" si="10"/>
        <v>14.072573412698413</v>
      </c>
      <c r="AC10">
        <f t="shared" si="11"/>
        <v>4.6648600083621643</v>
      </c>
      <c r="AD10">
        <f t="shared" si="12"/>
        <v>11.473606725146198</v>
      </c>
      <c r="AE10">
        <f t="shared" si="13"/>
        <v>3.9157357440524612</v>
      </c>
    </row>
    <row r="11" spans="1:31" x14ac:dyDescent="0.2">
      <c r="A11">
        <v>2020</v>
      </c>
      <c r="B11">
        <v>10</v>
      </c>
      <c r="C11">
        <v>14.950680885972103</v>
      </c>
      <c r="D11">
        <v>14.674035714285713</v>
      </c>
      <c r="E11">
        <v>17.851961538461538</v>
      </c>
      <c r="F11">
        <v>11.709249999999999</v>
      </c>
      <c r="G11">
        <v>27.788293785310692</v>
      </c>
      <c r="H11">
        <v>4.694</v>
      </c>
      <c r="I11">
        <v>13.359529411764715</v>
      </c>
      <c r="J11">
        <v>20.573500000000003</v>
      </c>
      <c r="K11">
        <v>12.086000000000006</v>
      </c>
      <c r="M11">
        <v>10</v>
      </c>
      <c r="N11">
        <f t="shared" si="14"/>
        <v>15.478151490292589</v>
      </c>
      <c r="O11">
        <f t="shared" si="15"/>
        <v>3.8909079825686663</v>
      </c>
      <c r="P11">
        <f t="shared" si="16"/>
        <v>16.691866749505639</v>
      </c>
      <c r="Q11">
        <f t="shared" si="17"/>
        <v>2.4211179783068162</v>
      </c>
      <c r="R11">
        <f t="shared" si="0"/>
        <v>15.912755535562553</v>
      </c>
      <c r="S11">
        <f t="shared" si="1"/>
        <v>5.1454271529857971</v>
      </c>
      <c r="T11">
        <f t="shared" si="2"/>
        <v>13.535447916666667</v>
      </c>
      <c r="U11">
        <f t="shared" si="3"/>
        <v>2.7470194878689571</v>
      </c>
      <c r="V11">
        <f t="shared" si="4"/>
        <v>28.106358671460356</v>
      </c>
      <c r="W11">
        <f t="shared" si="5"/>
        <v>0.58163081655832305</v>
      </c>
      <c r="X11">
        <f t="shared" si="6"/>
        <v>8.4058666666666682</v>
      </c>
      <c r="Y11">
        <f t="shared" si="7"/>
        <v>3.2299286018940601</v>
      </c>
      <c r="Z11">
        <f t="shared" si="8"/>
        <v>12.174161062322829</v>
      </c>
      <c r="AA11">
        <f t="shared" si="9"/>
        <v>1.1332776232912123</v>
      </c>
      <c r="AB11">
        <f t="shared" si="10"/>
        <v>17.804000000000002</v>
      </c>
      <c r="AC11">
        <f t="shared" si="11"/>
        <v>2.5156111086572839</v>
      </c>
      <c r="AD11">
        <f t="shared" si="12"/>
        <v>14.13964912280702</v>
      </c>
      <c r="AE11">
        <f t="shared" si="13"/>
        <v>3.3391395668119288</v>
      </c>
    </row>
    <row r="12" spans="1:31" x14ac:dyDescent="0.2">
      <c r="A12">
        <v>2020</v>
      </c>
      <c r="B12">
        <v>11</v>
      </c>
      <c r="C12">
        <v>14.789158326497134</v>
      </c>
      <c r="D12">
        <v>21.183380952380954</v>
      </c>
      <c r="E12">
        <v>18.624298076923079</v>
      </c>
      <c r="F12">
        <v>16.639250000000001</v>
      </c>
      <c r="G12">
        <v>28.228073446327699</v>
      </c>
      <c r="H12">
        <v>6.6304571428571437</v>
      </c>
      <c r="I12">
        <v>14.273058823529416</v>
      </c>
      <c r="J12">
        <v>21.707749999999994</v>
      </c>
      <c r="K12">
        <v>12.481999999999994</v>
      </c>
      <c r="M12">
        <v>11</v>
      </c>
      <c r="N12">
        <f t="shared" si="14"/>
        <v>17.007052775499048</v>
      </c>
      <c r="O12">
        <f t="shared" si="15"/>
        <v>5.1166192712772132</v>
      </c>
      <c r="P12">
        <f t="shared" si="16"/>
        <v>20.955739217572546</v>
      </c>
      <c r="Q12">
        <f t="shared" si="17"/>
        <v>1.0376332834901485</v>
      </c>
      <c r="R12">
        <f t="shared" si="0"/>
        <v>17.342537955465591</v>
      </c>
      <c r="S12">
        <f t="shared" si="1"/>
        <v>4.8471573090852109</v>
      </c>
      <c r="T12">
        <f t="shared" si="2"/>
        <v>17.093666666666667</v>
      </c>
      <c r="U12">
        <f t="shared" si="3"/>
        <v>2.627760338355337</v>
      </c>
      <c r="V12">
        <f t="shared" si="4"/>
        <v>27.85378873480569</v>
      </c>
      <c r="W12">
        <f t="shared" si="5"/>
        <v>2.1154854071934408</v>
      </c>
      <c r="X12">
        <f t="shared" si="6"/>
        <v>10.895180952380954</v>
      </c>
      <c r="Y12">
        <f t="shared" si="7"/>
        <v>3.6940116682503921</v>
      </c>
      <c r="Z12">
        <f t="shared" si="8"/>
        <v>12.237387046710586</v>
      </c>
      <c r="AA12">
        <f t="shared" si="9"/>
        <v>1.8247532203841468</v>
      </c>
      <c r="AB12">
        <f t="shared" si="10"/>
        <v>19.645798611111108</v>
      </c>
      <c r="AC12">
        <f t="shared" si="11"/>
        <v>1.8453341335326712</v>
      </c>
      <c r="AD12">
        <f t="shared" si="12"/>
        <v>16.594149122807018</v>
      </c>
      <c r="AE12">
        <f t="shared" si="13"/>
        <v>4.9223688868957867</v>
      </c>
    </row>
    <row r="13" spans="1:31" x14ac:dyDescent="0.2">
      <c r="A13">
        <v>2020</v>
      </c>
      <c r="B13">
        <v>12</v>
      </c>
      <c r="C13">
        <v>16.552912223133724</v>
      </c>
      <c r="D13">
        <v>22.732035714285704</v>
      </c>
      <c r="E13">
        <v>18.35363461538461</v>
      </c>
      <c r="F13">
        <v>16.639250000000001</v>
      </c>
      <c r="G13">
        <v>24.821412429378544</v>
      </c>
      <c r="H13">
        <v>11.471599999999999</v>
      </c>
      <c r="I13">
        <v>14.192343137254905</v>
      </c>
      <c r="J13">
        <v>21.401416666666666</v>
      </c>
      <c r="K13">
        <v>18.132249999999999</v>
      </c>
      <c r="M13">
        <v>12</v>
      </c>
      <c r="N13">
        <f t="shared" si="14"/>
        <v>17.264853340625283</v>
      </c>
      <c r="O13">
        <f t="shared" si="15"/>
        <v>4.2976955515371893</v>
      </c>
      <c r="P13">
        <f t="shared" si="16"/>
        <v>20.88872683181016</v>
      </c>
      <c r="Q13">
        <f t="shared" si="17"/>
        <v>2.9525386388085066</v>
      </c>
      <c r="R13">
        <f t="shared" si="0"/>
        <v>17.345548770430351</v>
      </c>
      <c r="S13">
        <f t="shared" si="1"/>
        <v>2.4695156315948568</v>
      </c>
      <c r="T13">
        <f t="shared" si="2"/>
        <v>17.093666666666667</v>
      </c>
      <c r="U13">
        <f t="shared" si="3"/>
        <v>2.627760338355337</v>
      </c>
      <c r="V13">
        <f t="shared" si="4"/>
        <v>28.591017291559663</v>
      </c>
      <c r="W13">
        <f t="shared" si="5"/>
        <v>3.2919535885512823</v>
      </c>
      <c r="X13">
        <f t="shared" si="6"/>
        <v>17.118466666666666</v>
      </c>
      <c r="Y13">
        <f t="shared" si="7"/>
        <v>4.9204389655124752</v>
      </c>
      <c r="Z13">
        <f t="shared" si="8"/>
        <v>13.507618704839302</v>
      </c>
      <c r="AA13">
        <f t="shared" si="9"/>
        <v>0.59475078238869328</v>
      </c>
      <c r="AB13">
        <f t="shared" si="10"/>
        <v>21.167472222222219</v>
      </c>
      <c r="AC13">
        <f t="shared" si="11"/>
        <v>0.51387504786165195</v>
      </c>
      <c r="AD13">
        <f t="shared" si="12"/>
        <v>21.078513157894744</v>
      </c>
      <c r="AE13">
        <f t="shared" si="13"/>
        <v>4.5033410497240789</v>
      </c>
    </row>
    <row r="14" spans="1:31" x14ac:dyDescent="0.2">
      <c r="A14">
        <v>2020</v>
      </c>
      <c r="B14">
        <v>13</v>
      </c>
      <c r="C14">
        <v>16.742339622641513</v>
      </c>
      <c r="D14">
        <v>22.038500000000006</v>
      </c>
      <c r="E14">
        <v>20.296124999999993</v>
      </c>
      <c r="F14">
        <v>17.96725</v>
      </c>
      <c r="G14">
        <v>25.105073446327669</v>
      </c>
      <c r="H14">
        <v>11.471599999999999</v>
      </c>
      <c r="I14">
        <v>15.678500000000012</v>
      </c>
      <c r="J14">
        <v>20.788749999999997</v>
      </c>
      <c r="K14">
        <v>22.475500000000007</v>
      </c>
      <c r="M14">
        <v>13</v>
      </c>
      <c r="N14">
        <f t="shared" si="14"/>
        <v>16.846238993710696</v>
      </c>
      <c r="O14">
        <f t="shared" si="15"/>
        <v>3.0085156778053155</v>
      </c>
      <c r="P14">
        <f t="shared" si="16"/>
        <v>21.671279835390948</v>
      </c>
      <c r="Q14">
        <f t="shared" si="17"/>
        <v>0.32863176470845462</v>
      </c>
      <c r="R14">
        <f t="shared" si="0"/>
        <v>18.802597222222218</v>
      </c>
      <c r="S14">
        <f t="shared" si="1"/>
        <v>1.7572362297782727</v>
      </c>
      <c r="T14">
        <f t="shared" si="2"/>
        <v>17.92711111111111</v>
      </c>
      <c r="U14">
        <f t="shared" si="3"/>
        <v>1.5626783416740131</v>
      </c>
      <c r="V14">
        <f t="shared" si="4"/>
        <v>30.400410118130452</v>
      </c>
      <c r="W14">
        <f t="shared" si="5"/>
        <v>4.6505375270718741</v>
      </c>
      <c r="X14">
        <f t="shared" si="6"/>
        <v>17.118466666666666</v>
      </c>
      <c r="Y14">
        <f t="shared" si="7"/>
        <v>4.9204389655124752</v>
      </c>
      <c r="Z14">
        <f t="shared" si="8"/>
        <v>13.929487487487494</v>
      </c>
      <c r="AA14">
        <f t="shared" si="9"/>
        <v>2.0047522031076981</v>
      </c>
      <c r="AB14">
        <f t="shared" si="10"/>
        <v>22.381124999999997</v>
      </c>
      <c r="AC14">
        <f t="shared" si="11"/>
        <v>1.5124358612433833</v>
      </c>
      <c r="AD14">
        <f t="shared" si="12"/>
        <v>23.978940058479541</v>
      </c>
      <c r="AE14">
        <f t="shared" si="13"/>
        <v>3.5920483318013297</v>
      </c>
    </row>
    <row r="15" spans="1:31" x14ac:dyDescent="0.2">
      <c r="A15">
        <v>2020</v>
      </c>
      <c r="B15">
        <v>14</v>
      </c>
      <c r="C15">
        <v>19.528885972108281</v>
      </c>
      <c r="D15">
        <v>22.110773809523806</v>
      </c>
      <c r="E15">
        <v>21.224557692307691</v>
      </c>
      <c r="F15">
        <v>19.295250000000003</v>
      </c>
      <c r="G15">
        <v>29.539389830508473</v>
      </c>
      <c r="H15">
        <v>11.471599999999999</v>
      </c>
      <c r="I15">
        <v>15.299803921568619</v>
      </c>
      <c r="J15">
        <v>21.928749999999997</v>
      </c>
      <c r="K15">
        <v>24.181249999999991</v>
      </c>
      <c r="M15">
        <v>14</v>
      </c>
      <c r="N15">
        <f t="shared" si="14"/>
        <v>18.921154862820163</v>
      </c>
      <c r="O15">
        <f t="shared" si="15"/>
        <v>3.1549701843515785</v>
      </c>
      <c r="P15">
        <f t="shared" si="16"/>
        <v>20.751379148629145</v>
      </c>
      <c r="Q15">
        <f t="shared" si="17"/>
        <v>1.3607221751065539</v>
      </c>
      <c r="R15">
        <f t="shared" si="0"/>
        <v>20.201102726545709</v>
      </c>
      <c r="S15">
        <f t="shared" si="1"/>
        <v>1.0016309646399417</v>
      </c>
      <c r="T15">
        <f t="shared" si="2"/>
        <v>18.760555555555555</v>
      </c>
      <c r="U15">
        <f t="shared" si="3"/>
        <v>0.70112908114407357</v>
      </c>
      <c r="V15">
        <f t="shared" si="4"/>
        <v>31.540505906522867</v>
      </c>
      <c r="W15">
        <f t="shared" si="5"/>
        <v>3.4893552499042086</v>
      </c>
      <c r="X15">
        <f t="shared" si="6"/>
        <v>17.118466666666666</v>
      </c>
      <c r="Y15">
        <f t="shared" si="7"/>
        <v>4.9204389655124752</v>
      </c>
      <c r="Z15">
        <f t="shared" si="8"/>
        <v>15.092816736904977</v>
      </c>
      <c r="AA15">
        <f t="shared" si="9"/>
        <v>0.27648763817789918</v>
      </c>
      <c r="AB15">
        <f t="shared" si="10"/>
        <v>24.179000000000002</v>
      </c>
      <c r="AC15">
        <f t="shared" si="11"/>
        <v>2.0953344154334936</v>
      </c>
      <c r="AD15">
        <f t="shared" si="12"/>
        <v>27.181697368421052</v>
      </c>
      <c r="AE15">
        <f t="shared" si="13"/>
        <v>2.5992404910084317</v>
      </c>
    </row>
    <row r="16" spans="1:31" x14ac:dyDescent="0.2">
      <c r="A16">
        <v>2020</v>
      </c>
      <c r="B16">
        <v>15</v>
      </c>
      <c r="C16">
        <v>20.974398687448719</v>
      </c>
      <c r="D16">
        <v>20.534952380952387</v>
      </c>
      <c r="E16">
        <v>20.553596153846154</v>
      </c>
      <c r="F16">
        <v>19.295250000000003</v>
      </c>
      <c r="G16">
        <v>28.075146892655361</v>
      </c>
      <c r="H16">
        <v>15.237314285714287</v>
      </c>
      <c r="I16">
        <v>18.620509803921561</v>
      </c>
      <c r="J16">
        <v>22.498749999999994</v>
      </c>
      <c r="K16">
        <v>24.847499999999982</v>
      </c>
      <c r="M16">
        <v>15</v>
      </c>
      <c r="N16">
        <f t="shared" si="14"/>
        <v>20.796849876948318</v>
      </c>
      <c r="O16">
        <f t="shared" si="15"/>
        <v>1.9374319453036655</v>
      </c>
      <c r="P16">
        <f t="shared" si="16"/>
        <v>21.724325316658661</v>
      </c>
      <c r="Q16">
        <f t="shared" si="17"/>
        <v>1.3403224811244108</v>
      </c>
      <c r="R16">
        <f t="shared" si="0"/>
        <v>21.627689946018894</v>
      </c>
      <c r="S16">
        <f t="shared" si="1"/>
        <v>2.4414125152822854</v>
      </c>
      <c r="T16">
        <f t="shared" si="2"/>
        <v>18.760555555555555</v>
      </c>
      <c r="U16">
        <f t="shared" si="3"/>
        <v>0.70112908114407357</v>
      </c>
      <c r="V16">
        <f t="shared" si="4"/>
        <v>29.476472350624917</v>
      </c>
      <c r="W16">
        <f t="shared" si="5"/>
        <v>1.2372135276926191</v>
      </c>
      <c r="X16">
        <f t="shared" si="6"/>
        <v>19.179752380952383</v>
      </c>
      <c r="Y16">
        <f t="shared" si="7"/>
        <v>3.5183295040469988</v>
      </c>
      <c r="Z16">
        <f t="shared" si="8"/>
        <v>15.642395874866461</v>
      </c>
      <c r="AA16">
        <f t="shared" si="9"/>
        <v>2.5816102559688932</v>
      </c>
      <c r="AB16">
        <f t="shared" si="10"/>
        <v>24.669019841269844</v>
      </c>
      <c r="AC16">
        <f t="shared" si="11"/>
        <v>2.0355132633389244</v>
      </c>
      <c r="AD16">
        <f t="shared" si="12"/>
        <v>26.642340643274839</v>
      </c>
      <c r="AE16">
        <f t="shared" si="13"/>
        <v>1.9361642747866006</v>
      </c>
    </row>
    <row r="17" spans="1:31" x14ac:dyDescent="0.2">
      <c r="A17">
        <v>2020</v>
      </c>
      <c r="B17">
        <v>16</v>
      </c>
      <c r="C17">
        <v>25.290697292862998</v>
      </c>
      <c r="D17">
        <v>21.190428571428576</v>
      </c>
      <c r="E17">
        <v>20.494711538461534</v>
      </c>
      <c r="F17">
        <v>19.644749999999995</v>
      </c>
      <c r="G17">
        <v>30.374406779660983</v>
      </c>
      <c r="H17">
        <v>16.743600000000001</v>
      </c>
      <c r="I17">
        <v>19.856539215686286</v>
      </c>
      <c r="J17">
        <v>27.024000000000001</v>
      </c>
      <c r="K17">
        <v>27.617250000000009</v>
      </c>
      <c r="M17">
        <v>16</v>
      </c>
      <c r="N17">
        <f t="shared" si="14"/>
        <v>21.674307902652444</v>
      </c>
      <c r="O17">
        <f t="shared" si="15"/>
        <v>3.446189576058015</v>
      </c>
      <c r="P17">
        <f t="shared" si="16"/>
        <v>22.506308214419334</v>
      </c>
      <c r="Q17">
        <f t="shared" si="17"/>
        <v>1.3091117560324468</v>
      </c>
      <c r="R17">
        <f t="shared" si="0"/>
        <v>21.481863235367623</v>
      </c>
      <c r="S17">
        <f t="shared" si="1"/>
        <v>1.75227412284124</v>
      </c>
      <c r="T17">
        <f t="shared" si="2"/>
        <v>19.249055555555554</v>
      </c>
      <c r="U17">
        <f t="shared" si="3"/>
        <v>1.214433919006821</v>
      </c>
      <c r="V17">
        <f t="shared" si="4"/>
        <v>33.996913542201675</v>
      </c>
      <c r="W17">
        <f t="shared" si="5"/>
        <v>3.1371838069271956</v>
      </c>
      <c r="X17">
        <f t="shared" si="6"/>
        <v>20.00426666666667</v>
      </c>
      <c r="Y17">
        <f t="shared" si="7"/>
        <v>3.1547557581107983</v>
      </c>
      <c r="Z17">
        <f t="shared" si="8"/>
        <v>15.97852286740523</v>
      </c>
      <c r="AA17">
        <f t="shared" si="9"/>
        <v>3.7917606656690057</v>
      </c>
      <c r="AB17">
        <f t="shared" si="10"/>
        <v>26.451333333333338</v>
      </c>
      <c r="AC17">
        <f t="shared" si="11"/>
        <v>1.1314810353396734</v>
      </c>
      <c r="AD17">
        <f t="shared" si="12"/>
        <v>28.138625730994146</v>
      </c>
      <c r="AE17">
        <f t="shared" si="13"/>
        <v>1.4743198525133236</v>
      </c>
    </row>
    <row r="18" spans="1:31" x14ac:dyDescent="0.2">
      <c r="A18">
        <v>2020</v>
      </c>
      <c r="B18">
        <v>17</v>
      </c>
      <c r="C18">
        <v>25.597099261689912</v>
      </c>
      <c r="D18">
        <v>25.74205952380952</v>
      </c>
      <c r="E18">
        <v>21.194480769230765</v>
      </c>
      <c r="F18">
        <v>19.644749999999995</v>
      </c>
      <c r="G18">
        <v>28.626192090395474</v>
      </c>
      <c r="H18">
        <v>16.743600000000001</v>
      </c>
      <c r="I18">
        <v>20.655549019607847</v>
      </c>
      <c r="J18">
        <v>28.216833333333341</v>
      </c>
      <c r="K18">
        <v>31.945249999999991</v>
      </c>
      <c r="M18">
        <v>17</v>
      </c>
      <c r="N18">
        <f t="shared" si="14"/>
        <v>21.902550906936469</v>
      </c>
      <c r="O18">
        <f t="shared" si="15"/>
        <v>3.204289913251412</v>
      </c>
      <c r="P18">
        <f t="shared" si="16"/>
        <v>24.023316137566137</v>
      </c>
      <c r="Q18">
        <f t="shared" si="17"/>
        <v>2.2999851557119935</v>
      </c>
      <c r="R18">
        <f t="shared" si="0"/>
        <v>22.304419515669508</v>
      </c>
      <c r="S18">
        <f t="shared" si="1"/>
        <v>1.5485166797970937</v>
      </c>
      <c r="T18">
        <f t="shared" si="2"/>
        <v>19.869055555555551</v>
      </c>
      <c r="U18">
        <f t="shared" si="3"/>
        <v>2.2379050910973119</v>
      </c>
      <c r="V18">
        <f t="shared" si="4"/>
        <v>31.538765622324945</v>
      </c>
      <c r="W18">
        <f t="shared" si="5"/>
        <v>2.7064765042976724</v>
      </c>
      <c r="X18">
        <f t="shared" si="6"/>
        <v>20.00426666666667</v>
      </c>
      <c r="Y18">
        <f t="shared" si="7"/>
        <v>3.1547557581107983</v>
      </c>
      <c r="Z18">
        <f t="shared" si="8"/>
        <v>15.648944911297841</v>
      </c>
      <c r="AA18">
        <f t="shared" si="9"/>
        <v>4.9745896823460578</v>
      </c>
      <c r="AB18">
        <f t="shared" si="10"/>
        <v>27.216853174603184</v>
      </c>
      <c r="AC18">
        <f t="shared" si="11"/>
        <v>0.87705761538500915</v>
      </c>
      <c r="AD18">
        <f t="shared" si="12"/>
        <v>30.773994152046797</v>
      </c>
      <c r="AE18">
        <f t="shared" si="13"/>
        <v>3.8829103042276927</v>
      </c>
    </row>
    <row r="19" spans="1:31" x14ac:dyDescent="0.2">
      <c r="A19">
        <v>2020</v>
      </c>
      <c r="B19">
        <v>18</v>
      </c>
      <c r="C19">
        <v>24.782733388022976</v>
      </c>
      <c r="D19">
        <v>26.667571428571431</v>
      </c>
      <c r="E19">
        <v>26.81186538461538</v>
      </c>
      <c r="F19">
        <v>20.427749999999996</v>
      </c>
      <c r="G19">
        <v>29.886259887005657</v>
      </c>
      <c r="H19">
        <v>17.384399999999999</v>
      </c>
      <c r="I19">
        <v>18.527078431372555</v>
      </c>
      <c r="J19">
        <v>30.602500000000006</v>
      </c>
      <c r="K19">
        <v>28.36075000000001</v>
      </c>
      <c r="M19">
        <v>18</v>
      </c>
      <c r="N19">
        <f t="shared" si="14"/>
        <v>21.304055783429046</v>
      </c>
      <c r="O19">
        <f t="shared" si="15"/>
        <v>3.3589469441214361</v>
      </c>
      <c r="P19">
        <f t="shared" si="16"/>
        <v>25.591051867885199</v>
      </c>
      <c r="Q19">
        <f t="shared" si="17"/>
        <v>2.561203026598331</v>
      </c>
      <c r="R19">
        <f t="shared" si="0"/>
        <v>23.601651034637872</v>
      </c>
      <c r="S19">
        <f t="shared" si="1"/>
        <v>4.8050630283156606</v>
      </c>
      <c r="T19">
        <f t="shared" si="2"/>
        <v>20.130055555555554</v>
      </c>
      <c r="U19">
        <f t="shared" si="3"/>
        <v>2.2443152511978499</v>
      </c>
      <c r="V19">
        <f t="shared" si="4"/>
        <v>32.37755658277694</v>
      </c>
      <c r="W19">
        <f t="shared" si="5"/>
        <v>2.6862544896282174</v>
      </c>
      <c r="X19">
        <f t="shared" si="6"/>
        <v>20.467580952380953</v>
      </c>
      <c r="Y19">
        <f t="shared" si="7"/>
        <v>2.919472546341813</v>
      </c>
      <c r="Z19">
        <f t="shared" si="8"/>
        <v>14.355229346994053</v>
      </c>
      <c r="AA19">
        <f t="shared" si="9"/>
        <v>3.7157910265919858</v>
      </c>
      <c r="AB19">
        <f t="shared" si="10"/>
        <v>27.662297619047621</v>
      </c>
      <c r="AC19">
        <f t="shared" si="11"/>
        <v>2.6756659847895592</v>
      </c>
      <c r="AD19">
        <f t="shared" si="12"/>
        <v>28.35614181286552</v>
      </c>
      <c r="AE19">
        <f t="shared" si="13"/>
        <v>5.4096769106385327</v>
      </c>
    </row>
    <row r="20" spans="1:31" x14ac:dyDescent="0.2">
      <c r="A20">
        <v>2020</v>
      </c>
      <c r="B20">
        <v>19</v>
      </c>
      <c r="C20">
        <v>23.618821985233797</v>
      </c>
      <c r="D20">
        <v>25.869083333333343</v>
      </c>
      <c r="E20">
        <v>27.879432692307677</v>
      </c>
      <c r="F20">
        <v>21.210749999999997</v>
      </c>
      <c r="G20">
        <v>30.74514124293783</v>
      </c>
      <c r="H20">
        <v>21.229199999999995</v>
      </c>
      <c r="I20">
        <v>18.620039215686273</v>
      </c>
      <c r="J20">
        <v>27.938166666666664</v>
      </c>
      <c r="K20">
        <v>30.019999999999985</v>
      </c>
      <c r="M20">
        <v>19</v>
      </c>
      <c r="N20">
        <f t="shared" si="14"/>
        <v>21.17182955063349</v>
      </c>
      <c r="O20">
        <f t="shared" si="15"/>
        <v>2.3056430410693443</v>
      </c>
      <c r="P20">
        <f t="shared" si="16"/>
        <v>25.423909184436969</v>
      </c>
      <c r="Q20">
        <f t="shared" si="17"/>
        <v>0.85894020217229072</v>
      </c>
      <c r="R20">
        <f t="shared" si="0"/>
        <v>25.337316095616526</v>
      </c>
      <c r="S20">
        <f t="shared" si="1"/>
        <v>3.2088685851575609</v>
      </c>
      <c r="T20">
        <f t="shared" si="2"/>
        <v>20.433909722222221</v>
      </c>
      <c r="U20">
        <f t="shared" si="3"/>
        <v>1.5082817187781035</v>
      </c>
      <c r="V20">
        <f t="shared" si="4"/>
        <v>33.758664098613231</v>
      </c>
      <c r="W20">
        <f t="shared" si="5"/>
        <v>4.6069585266703932</v>
      </c>
      <c r="X20">
        <f t="shared" si="6"/>
        <v>23.247466666666664</v>
      </c>
      <c r="Y20">
        <f t="shared" si="7"/>
        <v>1.7566489157863447</v>
      </c>
      <c r="Z20">
        <f t="shared" si="8"/>
        <v>14.236091114223475</v>
      </c>
      <c r="AA20">
        <f t="shared" si="9"/>
        <v>3.8897875095139631</v>
      </c>
      <c r="AB20">
        <f t="shared" si="10"/>
        <v>27.200368055555554</v>
      </c>
      <c r="AC20">
        <f t="shared" si="11"/>
        <v>0.72639654297406819</v>
      </c>
      <c r="AD20">
        <f t="shared" si="12"/>
        <v>31.089961988304086</v>
      </c>
      <c r="AE20">
        <f t="shared" si="13"/>
        <v>1.5286876781221637</v>
      </c>
    </row>
    <row r="21" spans="1:31" x14ac:dyDescent="0.2">
      <c r="A21">
        <v>2020</v>
      </c>
      <c r="B21">
        <v>20</v>
      </c>
      <c r="C21">
        <v>21.396981132075464</v>
      </c>
      <c r="D21">
        <v>26.218238095238096</v>
      </c>
      <c r="E21">
        <v>29.416384615384633</v>
      </c>
      <c r="F21">
        <v>21.210749999999997</v>
      </c>
      <c r="G21">
        <v>29.204694915254233</v>
      </c>
      <c r="H21">
        <v>21.229199999999995</v>
      </c>
      <c r="I21">
        <v>22.29481372549019</v>
      </c>
      <c r="J21">
        <v>26.605999999999995</v>
      </c>
      <c r="K21">
        <v>25.290499999999998</v>
      </c>
      <c r="M21">
        <v>20</v>
      </c>
      <c r="N21">
        <f t="shared" si="14"/>
        <v>19.71355974842767</v>
      </c>
      <c r="O21">
        <f t="shared" si="15"/>
        <v>1.5955944782969425</v>
      </c>
      <c r="P21">
        <f t="shared" si="16"/>
        <v>25.446501924001925</v>
      </c>
      <c r="Q21">
        <f t="shared" si="17"/>
        <v>1.009876262136064</v>
      </c>
      <c r="R21">
        <f t="shared" si="0"/>
        <v>26.273916379267263</v>
      </c>
      <c r="S21">
        <f t="shared" si="1"/>
        <v>2.8397016615835384</v>
      </c>
      <c r="T21">
        <f t="shared" si="2"/>
        <v>20.562472222222222</v>
      </c>
      <c r="U21">
        <f t="shared" si="3"/>
        <v>1.4056528147619323</v>
      </c>
      <c r="V21">
        <f t="shared" si="4"/>
        <v>32.769612737544954</v>
      </c>
      <c r="W21">
        <f t="shared" si="5"/>
        <v>3.0877926153580284</v>
      </c>
      <c r="X21">
        <f t="shared" si="6"/>
        <v>23.247466666666664</v>
      </c>
      <c r="Y21">
        <f t="shared" si="7"/>
        <v>1.7566489157863447</v>
      </c>
      <c r="Z21">
        <f t="shared" si="8"/>
        <v>16.483166708725538</v>
      </c>
      <c r="AA21">
        <f t="shared" si="9"/>
        <v>5.1750975489340556</v>
      </c>
      <c r="AB21">
        <f t="shared" si="10"/>
        <v>28.275690476190466</v>
      </c>
      <c r="AC21">
        <f t="shared" si="11"/>
        <v>1.6164326026294837</v>
      </c>
      <c r="AD21">
        <f t="shared" si="12"/>
        <v>30.016071637426894</v>
      </c>
      <c r="AE21">
        <f t="shared" si="13"/>
        <v>4.3471414360229899</v>
      </c>
    </row>
    <row r="22" spans="1:31" x14ac:dyDescent="0.2">
      <c r="A22">
        <v>2020</v>
      </c>
      <c r="B22">
        <v>21</v>
      </c>
      <c r="C22">
        <v>21.034148208914409</v>
      </c>
      <c r="D22">
        <v>27.949226190476171</v>
      </c>
      <c r="E22">
        <v>27.726201923076925</v>
      </c>
      <c r="F22">
        <v>19.153749999999999</v>
      </c>
      <c r="G22">
        <v>30.802457627118606</v>
      </c>
      <c r="H22">
        <v>21.229199999999995</v>
      </c>
      <c r="I22">
        <v>19.376254901960788</v>
      </c>
      <c r="J22">
        <v>26.994000000000007</v>
      </c>
      <c r="K22">
        <v>30.423999999999989</v>
      </c>
      <c r="M22">
        <v>21</v>
      </c>
      <c r="N22">
        <f t="shared" si="14"/>
        <v>18.962024245738768</v>
      </c>
      <c r="O22">
        <f t="shared" si="15"/>
        <v>2.1182645668124422</v>
      </c>
      <c r="P22">
        <f t="shared" si="16"/>
        <v>24.519357850996727</v>
      </c>
      <c r="Q22">
        <f t="shared" si="17"/>
        <v>3.05601356402514</v>
      </c>
      <c r="R22">
        <f t="shared" si="0"/>
        <v>24.728363603988601</v>
      </c>
      <c r="S22">
        <f t="shared" si="1"/>
        <v>3.0421977419358437</v>
      </c>
      <c r="T22">
        <f t="shared" si="2"/>
        <v>19.876805555555556</v>
      </c>
      <c r="U22">
        <f t="shared" si="3"/>
        <v>1.4327486800177458</v>
      </c>
      <c r="V22">
        <f t="shared" si="4"/>
        <v>33.955769388803269</v>
      </c>
      <c r="W22">
        <f t="shared" si="5"/>
        <v>2.75467732380076</v>
      </c>
      <c r="X22">
        <f t="shared" si="6"/>
        <v>23.247466666666664</v>
      </c>
      <c r="Y22">
        <f t="shared" si="7"/>
        <v>1.7566489157863447</v>
      </c>
      <c r="Z22">
        <f t="shared" si="8"/>
        <v>15.705409291644587</v>
      </c>
      <c r="AA22">
        <f t="shared" si="9"/>
        <v>3.4767648914983269</v>
      </c>
      <c r="AB22">
        <f t="shared" si="10"/>
        <v>29.18323611111111</v>
      </c>
      <c r="AC22">
        <f t="shared" si="11"/>
        <v>1.9180069518240399</v>
      </c>
      <c r="AD22">
        <f t="shared" si="12"/>
        <v>30.504713450292371</v>
      </c>
      <c r="AE22">
        <f t="shared" si="13"/>
        <v>2.1288364802004764</v>
      </c>
    </row>
    <row r="23" spans="1:31" x14ac:dyDescent="0.2">
      <c r="A23">
        <v>2020</v>
      </c>
      <c r="B23">
        <v>22</v>
      </c>
      <c r="C23">
        <v>23.523237626469783</v>
      </c>
      <c r="D23">
        <v>28.684047619047607</v>
      </c>
      <c r="E23">
        <v>27.342634615384625</v>
      </c>
      <c r="F23">
        <v>19.153749999999999</v>
      </c>
      <c r="G23">
        <v>33.175214689265573</v>
      </c>
      <c r="H23">
        <v>21.121199999999998</v>
      </c>
      <c r="I23">
        <v>17.72328431372549</v>
      </c>
      <c r="J23">
        <v>26.219666666666665</v>
      </c>
      <c r="K23">
        <v>26.63549999999999</v>
      </c>
      <c r="M23">
        <v>22</v>
      </c>
      <c r="N23">
        <f t="shared" si="14"/>
        <v>20.521372709871478</v>
      </c>
      <c r="O23">
        <f t="shared" si="15"/>
        <v>2.6002688946721557</v>
      </c>
      <c r="P23">
        <f t="shared" si="16"/>
        <v>25.525185719630155</v>
      </c>
      <c r="Q23">
        <f t="shared" si="17"/>
        <v>2.7689428775794731</v>
      </c>
      <c r="R23">
        <f t="shared" si="0"/>
        <v>24.583965924426451</v>
      </c>
      <c r="S23">
        <f t="shared" si="1"/>
        <v>2.9802937525412996</v>
      </c>
      <c r="T23">
        <f t="shared" si="2"/>
        <v>19.731097222222225</v>
      </c>
      <c r="U23">
        <f t="shared" si="3"/>
        <v>1.1665254455698939</v>
      </c>
      <c r="V23">
        <f t="shared" si="4"/>
        <v>32.634015065913381</v>
      </c>
      <c r="W23">
        <f t="shared" si="5"/>
        <v>1.2431531932660875</v>
      </c>
      <c r="X23">
        <f t="shared" si="6"/>
        <v>22.373752380952382</v>
      </c>
      <c r="Y23">
        <f t="shared" si="7"/>
        <v>1.5854324901049179</v>
      </c>
      <c r="Z23">
        <f t="shared" si="8"/>
        <v>15.53053174392879</v>
      </c>
      <c r="AA23">
        <f t="shared" si="9"/>
        <v>2.6192242969537523</v>
      </c>
      <c r="AB23">
        <f t="shared" si="10"/>
        <v>29.328257936507942</v>
      </c>
      <c r="AC23">
        <f t="shared" si="11"/>
        <v>2.6948505187934586</v>
      </c>
      <c r="AD23">
        <f t="shared" si="12"/>
        <v>29.85340058479532</v>
      </c>
      <c r="AE23">
        <f t="shared" si="13"/>
        <v>3.5154817778249865</v>
      </c>
    </row>
    <row r="24" spans="1:31" x14ac:dyDescent="0.2">
      <c r="A24">
        <v>2020</v>
      </c>
      <c r="B24">
        <v>23</v>
      </c>
      <c r="C24">
        <v>21.844954881050032</v>
      </c>
      <c r="D24">
        <v>29.366702380952397</v>
      </c>
      <c r="E24">
        <v>26.176634615384629</v>
      </c>
      <c r="F24">
        <v>20.839500000000001</v>
      </c>
      <c r="G24">
        <v>33.80076836158193</v>
      </c>
      <c r="H24">
        <v>21.040199999999999</v>
      </c>
      <c r="I24">
        <v>17.390705882352947</v>
      </c>
      <c r="J24">
        <v>24.670999999999996</v>
      </c>
      <c r="K24">
        <v>24.728749999999994</v>
      </c>
      <c r="M24">
        <v>23</v>
      </c>
      <c r="N24">
        <f t="shared" si="14"/>
        <v>21.051588733934913</v>
      </c>
      <c r="O24">
        <f t="shared" si="15"/>
        <v>1.9837294942859309</v>
      </c>
      <c r="P24">
        <f t="shared" si="16"/>
        <v>27.667286876703546</v>
      </c>
      <c r="Q24">
        <f t="shared" si="17"/>
        <v>1.9113588609540426</v>
      </c>
      <c r="R24">
        <f t="shared" si="0"/>
        <v>25.051733955615543</v>
      </c>
      <c r="S24">
        <f t="shared" si="1"/>
        <v>2.7941561371806087</v>
      </c>
      <c r="T24">
        <f t="shared" si="2"/>
        <v>19.273055555555558</v>
      </c>
      <c r="U24">
        <f t="shared" si="3"/>
        <v>1.4789957772959532</v>
      </c>
      <c r="V24">
        <f t="shared" si="4"/>
        <v>36.444758431775384</v>
      </c>
      <c r="W24">
        <f t="shared" si="5"/>
        <v>2.5803840259788853</v>
      </c>
      <c r="X24">
        <f t="shared" si="6"/>
        <v>21.718466666666671</v>
      </c>
      <c r="Y24">
        <f t="shared" si="7"/>
        <v>2.2336202124204871</v>
      </c>
      <c r="Z24">
        <f t="shared" si="8"/>
        <v>16.891995733128095</v>
      </c>
      <c r="AA24">
        <f t="shared" si="9"/>
        <v>1.0189796977960237</v>
      </c>
      <c r="AB24">
        <f t="shared" si="10"/>
        <v>28.884233796296297</v>
      </c>
      <c r="AC24">
        <f t="shared" si="11"/>
        <v>3.6645648861231956</v>
      </c>
      <c r="AD24">
        <f t="shared" si="12"/>
        <v>30.935163742690047</v>
      </c>
      <c r="AE24">
        <f t="shared" si="13"/>
        <v>5.381105449061832</v>
      </c>
    </row>
    <row r="25" spans="1:31" x14ac:dyDescent="0.2">
      <c r="A25">
        <v>2020</v>
      </c>
      <c r="B25">
        <v>24</v>
      </c>
      <c r="C25">
        <v>17.956652994257588</v>
      </c>
      <c r="D25">
        <v>27.395761904761912</v>
      </c>
      <c r="E25">
        <v>30.055980769230761</v>
      </c>
      <c r="F25">
        <v>22.52525</v>
      </c>
      <c r="G25">
        <v>31.686220338983066</v>
      </c>
      <c r="H25">
        <v>21.040199999999999</v>
      </c>
      <c r="I25">
        <v>18.478529411764697</v>
      </c>
      <c r="J25">
        <v>22.31633333333334</v>
      </c>
      <c r="K25">
        <v>29.858500000000014</v>
      </c>
      <c r="M25">
        <v>24</v>
      </c>
      <c r="N25">
        <f t="shared" si="14"/>
        <v>19.200244918421294</v>
      </c>
      <c r="O25">
        <f t="shared" si="15"/>
        <v>4.9892267279792897</v>
      </c>
      <c r="P25">
        <f t="shared" si="16"/>
        <v>27.858768932713378</v>
      </c>
      <c r="Q25">
        <f t="shared" si="17"/>
        <v>1.2417201331428604</v>
      </c>
      <c r="R25">
        <f t="shared" si="0"/>
        <v>26.742986929574641</v>
      </c>
      <c r="S25">
        <f t="shared" si="1"/>
        <v>4.170907985995524</v>
      </c>
      <c r="T25">
        <f t="shared" si="2"/>
        <v>19.834972222222223</v>
      </c>
      <c r="U25">
        <f t="shared" si="3"/>
        <v>2.4031881433451714</v>
      </c>
      <c r="V25">
        <f t="shared" si="4"/>
        <v>34.107936141071718</v>
      </c>
      <c r="W25">
        <f t="shared" si="5"/>
        <v>2.838429997850088</v>
      </c>
      <c r="X25">
        <f t="shared" si="6"/>
        <v>21.718466666666671</v>
      </c>
      <c r="Y25">
        <f t="shared" si="7"/>
        <v>2.2336202124204871</v>
      </c>
      <c r="Z25">
        <f t="shared" si="8"/>
        <v>17.467772137683895</v>
      </c>
      <c r="AA25">
        <f t="shared" si="9"/>
        <v>1.2636867545412798</v>
      </c>
      <c r="AB25">
        <f t="shared" si="10"/>
        <v>27.059732142857147</v>
      </c>
      <c r="AC25">
        <f t="shared" si="11"/>
        <v>4.1079086012657733</v>
      </c>
      <c r="AD25">
        <f t="shared" si="12"/>
        <v>31.703761695906433</v>
      </c>
      <c r="AE25">
        <f t="shared" si="13"/>
        <v>1.667534709294149</v>
      </c>
    </row>
    <row r="26" spans="1:31" x14ac:dyDescent="0.2">
      <c r="A26">
        <v>2020</v>
      </c>
      <c r="B26">
        <v>25</v>
      </c>
      <c r="C26">
        <v>19.98188679245283</v>
      </c>
      <c r="D26">
        <v>31.905571428571438</v>
      </c>
      <c r="E26">
        <v>36.983996794871786</v>
      </c>
      <c r="F26">
        <v>22.52525</v>
      </c>
      <c r="G26">
        <v>25.764915254237287</v>
      </c>
      <c r="H26">
        <v>21.040199999999999</v>
      </c>
      <c r="I26">
        <v>19.938235294117629</v>
      </c>
      <c r="J26">
        <v>21.139000000000006</v>
      </c>
      <c r="K26">
        <v>21.277249999999995</v>
      </c>
      <c r="M26">
        <v>25</v>
      </c>
      <c r="N26">
        <f t="shared" si="14"/>
        <v>18.730188679245284</v>
      </c>
      <c r="O26">
        <f t="shared" si="15"/>
        <v>5.1901242173229827</v>
      </c>
      <c r="P26">
        <f t="shared" si="16"/>
        <v>29.200305702527931</v>
      </c>
      <c r="Q26">
        <f t="shared" si="17"/>
        <v>2.4139573895573347</v>
      </c>
      <c r="R26">
        <f t="shared" si="0"/>
        <v>29.20416559829059</v>
      </c>
      <c r="S26">
        <f t="shared" si="1"/>
        <v>7.5591251245083537</v>
      </c>
      <c r="T26">
        <f t="shared" si="2"/>
        <v>19.834972222222223</v>
      </c>
      <c r="U26">
        <f t="shared" si="3"/>
        <v>2.4031881433451714</v>
      </c>
      <c r="V26">
        <f t="shared" si="4"/>
        <v>31.960072761513427</v>
      </c>
      <c r="W26">
        <f t="shared" si="5"/>
        <v>7.6674408068410678</v>
      </c>
      <c r="X26">
        <f t="shared" si="6"/>
        <v>21.718466666666671</v>
      </c>
      <c r="Y26">
        <f t="shared" si="7"/>
        <v>2.2336202124204871</v>
      </c>
      <c r="Z26">
        <f t="shared" si="8"/>
        <v>17.708123297667413</v>
      </c>
      <c r="AA26">
        <f t="shared" si="9"/>
        <v>2.3895839330326654</v>
      </c>
      <c r="AB26">
        <f t="shared" si="10"/>
        <v>26.494055555555562</v>
      </c>
      <c r="AC26">
        <f t="shared" si="11"/>
        <v>4.6452411501010831</v>
      </c>
      <c r="AD26">
        <f t="shared" si="12"/>
        <v>28.809907894736863</v>
      </c>
      <c r="AE26">
        <f t="shared" si="13"/>
        <v>6.5302508494189508</v>
      </c>
    </row>
    <row r="27" spans="1:31" x14ac:dyDescent="0.2">
      <c r="A27">
        <v>2019</v>
      </c>
      <c r="B27">
        <v>1</v>
      </c>
      <c r="C27">
        <v>3.1628679245283013</v>
      </c>
      <c r="D27">
        <v>1.5369629629629629</v>
      </c>
      <c r="E27">
        <v>2.6415000000000002</v>
      </c>
      <c r="F27">
        <v>0.755</v>
      </c>
      <c r="G27">
        <v>1.9490303030303029</v>
      </c>
      <c r="H27">
        <v>2.387</v>
      </c>
      <c r="I27">
        <v>2.2710495495495513</v>
      </c>
      <c r="J27">
        <v>1.0660000000000003</v>
      </c>
      <c r="K27">
        <v>1.7873771929824556</v>
      </c>
    </row>
    <row r="28" spans="1:31" x14ac:dyDescent="0.2">
      <c r="A28">
        <v>2019</v>
      </c>
      <c r="B28">
        <v>2</v>
      </c>
      <c r="C28">
        <v>4.9385283018867909</v>
      </c>
      <c r="D28">
        <v>2.0542283950617275</v>
      </c>
      <c r="E28">
        <v>4.8770462962962959</v>
      </c>
      <c r="F28">
        <v>0.755</v>
      </c>
      <c r="G28">
        <v>5.5776666666666701</v>
      </c>
      <c r="H28">
        <v>2.387</v>
      </c>
      <c r="I28">
        <v>3.6970855855855889</v>
      </c>
      <c r="J28">
        <v>1.0660000000000003</v>
      </c>
      <c r="K28">
        <v>3.4293859649122762</v>
      </c>
    </row>
    <row r="29" spans="1:31" x14ac:dyDescent="0.2">
      <c r="A29">
        <v>2019</v>
      </c>
      <c r="B29">
        <v>3</v>
      </c>
      <c r="C29">
        <v>6.3984150943396223</v>
      </c>
      <c r="D29">
        <v>3.3073333333333346</v>
      </c>
      <c r="E29">
        <v>7.3316296296296297</v>
      </c>
      <c r="F29">
        <v>0.755</v>
      </c>
      <c r="G29">
        <v>7.4216060606060674</v>
      </c>
      <c r="H29">
        <v>2.387</v>
      </c>
      <c r="I29">
        <v>3.6831036036036044</v>
      </c>
      <c r="J29">
        <v>1.8591458333333331</v>
      </c>
      <c r="K29">
        <v>3.6599546783625714</v>
      </c>
      <c r="M29" t="s">
        <v>5</v>
      </c>
      <c r="N29">
        <f>AVERAGE(N2:N26)</f>
        <v>15.646451098350195</v>
      </c>
      <c r="O29">
        <f>STDEV(O2:O26)</f>
        <v>1.1683982234785348</v>
      </c>
      <c r="P29">
        <f>O29/2</f>
        <v>0.58419911173926742</v>
      </c>
    </row>
    <row r="30" spans="1:31" x14ac:dyDescent="0.2">
      <c r="A30">
        <v>2019</v>
      </c>
      <c r="B30">
        <v>4</v>
      </c>
      <c r="C30">
        <v>7.737094339622641</v>
      </c>
      <c r="D30">
        <v>4.9017654320987658</v>
      </c>
      <c r="E30">
        <v>10.9435</v>
      </c>
      <c r="F30">
        <v>2.0753749999999997</v>
      </c>
      <c r="G30">
        <v>13.533333333333339</v>
      </c>
      <c r="H30">
        <v>2.5652857142857144</v>
      </c>
      <c r="I30">
        <v>6.560036036036033</v>
      </c>
      <c r="J30">
        <v>1.9312499999999997</v>
      </c>
      <c r="K30">
        <v>5.9794385964912298</v>
      </c>
      <c r="M30" t="s">
        <v>6</v>
      </c>
      <c r="N30">
        <f>AVERAGE(P2:P26)</f>
        <v>17.41082686654909</v>
      </c>
      <c r="O30">
        <f>STDEV(Q2:Q26)</f>
        <v>0.92301297824638884</v>
      </c>
      <c r="P30">
        <f t="shared" ref="P30:P37" si="18">O30/2</f>
        <v>0.46150648912319442</v>
      </c>
    </row>
    <row r="31" spans="1:31" x14ac:dyDescent="0.2">
      <c r="A31">
        <v>2019</v>
      </c>
      <c r="B31">
        <v>5</v>
      </c>
      <c r="C31">
        <v>9.149132075471698</v>
      </c>
      <c r="D31">
        <v>7.0403580246913586</v>
      </c>
      <c r="E31">
        <v>11.054194444444446</v>
      </c>
      <c r="F31">
        <v>2.2639999999999998</v>
      </c>
      <c r="G31">
        <v>13.158969696969697</v>
      </c>
      <c r="H31">
        <v>2.8030000000000004</v>
      </c>
      <c r="I31">
        <v>5.8169009009008894</v>
      </c>
      <c r="J31">
        <v>4.4293750000000012</v>
      </c>
      <c r="K31">
        <v>7.8327324561403602</v>
      </c>
      <c r="M31" t="s">
        <v>7</v>
      </c>
      <c r="N31">
        <f>AVERAGE(R2:R26)</f>
        <v>17.352935360123958</v>
      </c>
      <c r="O31">
        <f>STDEV(S2:S26)</f>
        <v>1.5768315218357087</v>
      </c>
      <c r="P31">
        <f t="shared" si="18"/>
        <v>0.78841576091785437</v>
      </c>
    </row>
    <row r="32" spans="1:31" x14ac:dyDescent="0.2">
      <c r="A32">
        <v>2019</v>
      </c>
      <c r="B32">
        <v>6</v>
      </c>
      <c r="C32">
        <v>9.4647547169811315</v>
      </c>
      <c r="D32">
        <v>8.3105555555555597</v>
      </c>
      <c r="E32">
        <v>12.529518518518522</v>
      </c>
      <c r="F32">
        <v>2.2639999999999998</v>
      </c>
      <c r="G32">
        <v>13.052060606060614</v>
      </c>
      <c r="H32">
        <v>2.8030000000000004</v>
      </c>
      <c r="I32">
        <v>4.5249684684684626</v>
      </c>
      <c r="J32">
        <v>4.9290000000000012</v>
      </c>
      <c r="K32">
        <v>10.020789473684216</v>
      </c>
      <c r="M32" t="s">
        <v>8</v>
      </c>
      <c r="N32">
        <f>AVERAGE(T2:T26)</f>
        <v>13.602733333333333</v>
      </c>
      <c r="O32">
        <f>STDEV(U2:U26)</f>
        <v>0.7446739152792603</v>
      </c>
      <c r="P32">
        <f t="shared" si="18"/>
        <v>0.37233695763963015</v>
      </c>
    </row>
    <row r="33" spans="1:16" x14ac:dyDescent="0.2">
      <c r="A33">
        <v>2019</v>
      </c>
      <c r="B33">
        <v>7</v>
      </c>
      <c r="C33">
        <v>8.594415094339622</v>
      </c>
      <c r="D33">
        <v>9.1159135802469198</v>
      </c>
      <c r="E33">
        <v>14.415518518518521</v>
      </c>
      <c r="F33">
        <v>9.0564999999999998</v>
      </c>
      <c r="G33">
        <v>17.619121212121225</v>
      </c>
      <c r="H33">
        <v>2.8030000000000004</v>
      </c>
      <c r="I33">
        <v>7.1462612612612668</v>
      </c>
      <c r="J33">
        <v>7.7493749999999997</v>
      </c>
      <c r="K33">
        <v>9.236464912280713</v>
      </c>
      <c r="M33" t="s">
        <v>9</v>
      </c>
      <c r="N33">
        <f>AVERAGE(V2:V26)</f>
        <v>25.485603937681908</v>
      </c>
      <c r="O33">
        <f>STDEV(W2:W26)</f>
        <v>1.6564815055228765</v>
      </c>
      <c r="P33">
        <f t="shared" si="18"/>
        <v>0.82824075276143827</v>
      </c>
    </row>
    <row r="34" spans="1:16" x14ac:dyDescent="0.2">
      <c r="A34">
        <v>2019</v>
      </c>
      <c r="B34">
        <v>8</v>
      </c>
      <c r="C34">
        <v>10.731245283018868</v>
      </c>
      <c r="D34">
        <v>10.055308641975307</v>
      </c>
      <c r="E34">
        <v>15.597333333333331</v>
      </c>
      <c r="F34">
        <v>11.320666666666666</v>
      </c>
      <c r="G34">
        <v>20.875666666666667</v>
      </c>
      <c r="H34">
        <v>9.4659142857142875</v>
      </c>
      <c r="I34">
        <v>7.9361891891891929</v>
      </c>
      <c r="J34">
        <v>8.6894999999999989</v>
      </c>
      <c r="K34">
        <v>10.496903508771934</v>
      </c>
      <c r="M34" t="s">
        <v>1</v>
      </c>
      <c r="N34">
        <f>AVERAGE(X2:X26)</f>
        <v>13.60794523809524</v>
      </c>
      <c r="O34">
        <f>STDEV(Y2:Y26)</f>
        <v>1.3006421192670503</v>
      </c>
      <c r="P34">
        <f t="shared" si="18"/>
        <v>0.65032105963352516</v>
      </c>
    </row>
    <row r="35" spans="1:16" x14ac:dyDescent="0.2">
      <c r="A35">
        <v>2019</v>
      </c>
      <c r="B35">
        <v>9</v>
      </c>
      <c r="C35">
        <v>12.838113207547172</v>
      </c>
      <c r="D35">
        <v>12.484222222222229</v>
      </c>
      <c r="E35">
        <v>17.989999999999995</v>
      </c>
      <c r="F35">
        <v>11.320666666666666</v>
      </c>
      <c r="G35">
        <v>26.549121212121232</v>
      </c>
      <c r="H35">
        <v>10.576400000000001</v>
      </c>
      <c r="I35">
        <v>9.376968468468478</v>
      </c>
      <c r="J35">
        <v>13.336833333333336</v>
      </c>
      <c r="K35">
        <v>15.781355263157881</v>
      </c>
      <c r="M35" t="s">
        <v>2</v>
      </c>
      <c r="N35">
        <f>AVERAGE(Z2:Z26)</f>
        <v>11.81516928483105</v>
      </c>
      <c r="O35">
        <f>STDEV(AA2:AA26)</f>
        <v>1.3456107151573649</v>
      </c>
      <c r="P35">
        <f t="shared" si="18"/>
        <v>0.67280535757868243</v>
      </c>
    </row>
    <row r="36" spans="1:16" x14ac:dyDescent="0.2">
      <c r="A36">
        <v>2019</v>
      </c>
      <c r="B36">
        <v>10</v>
      </c>
      <c r="C36">
        <v>11.877886792452834</v>
      </c>
      <c r="D36">
        <v>16.025049382716048</v>
      </c>
      <c r="E36">
        <v>19.806796296296298</v>
      </c>
      <c r="F36">
        <v>16.694624999999998</v>
      </c>
      <c r="G36">
        <v>27.753121212121179</v>
      </c>
      <c r="H36">
        <v>10.576400000000001</v>
      </c>
      <c r="I36">
        <v>11.101378378378369</v>
      </c>
      <c r="J36">
        <v>15.660500000000004</v>
      </c>
      <c r="K36">
        <v>17.992557017543856</v>
      </c>
      <c r="M36" t="s">
        <v>3</v>
      </c>
      <c r="N36">
        <f>AVERAGE(AB2:AB26)</f>
        <v>18.508415740740745</v>
      </c>
      <c r="O36">
        <f>STDEV(AC2:AC26)</f>
        <v>1.3502880465442642</v>
      </c>
      <c r="P36">
        <f t="shared" si="18"/>
        <v>0.67514402327213208</v>
      </c>
    </row>
    <row r="37" spans="1:16" x14ac:dyDescent="0.2">
      <c r="A37">
        <v>2019</v>
      </c>
      <c r="B37">
        <v>11</v>
      </c>
      <c r="C37">
        <v>13.373584905660376</v>
      </c>
      <c r="D37">
        <v>19.823185185185181</v>
      </c>
      <c r="E37">
        <v>21.42</v>
      </c>
      <c r="F37">
        <v>19.919</v>
      </c>
      <c r="G37">
        <v>29.75715151515152</v>
      </c>
      <c r="H37">
        <v>13.096971428571432</v>
      </c>
      <c r="I37">
        <v>11.690459459459472</v>
      </c>
      <c r="J37">
        <v>19.080145833333333</v>
      </c>
      <c r="K37">
        <v>22.048368421052636</v>
      </c>
      <c r="M37" t="s">
        <v>4</v>
      </c>
      <c r="N37">
        <f>AVERAGE(AD2:AD26)</f>
        <v>19.407594444444445</v>
      </c>
      <c r="O37">
        <f>STDEV(AE2:AE26)</f>
        <v>1.6930353118970694</v>
      </c>
      <c r="P37">
        <f t="shared" si="18"/>
        <v>0.84651765594853468</v>
      </c>
    </row>
    <row r="38" spans="1:16" x14ac:dyDescent="0.2">
      <c r="A38">
        <v>2019</v>
      </c>
      <c r="B38">
        <v>12</v>
      </c>
      <c r="C38">
        <v>13.367584905660376</v>
      </c>
      <c r="D38">
        <v>17.483296296296299</v>
      </c>
      <c r="E38">
        <v>19.151555555555554</v>
      </c>
      <c r="F38">
        <v>19.919</v>
      </c>
      <c r="G38">
        <v>30.899515151515129</v>
      </c>
      <c r="H38">
        <v>19.398400000000006</v>
      </c>
      <c r="I38">
        <v>13.119509009009018</v>
      </c>
      <c r="J38">
        <v>21.522750000000002</v>
      </c>
      <c r="K38">
        <v>26.262403508771936</v>
      </c>
    </row>
    <row r="39" spans="1:16" x14ac:dyDescent="0.2">
      <c r="A39">
        <v>2019</v>
      </c>
      <c r="B39">
        <v>13</v>
      </c>
      <c r="C39">
        <v>13.891018867924535</v>
      </c>
      <c r="D39">
        <v>21.404839506172838</v>
      </c>
      <c r="E39">
        <v>19.245333333333331</v>
      </c>
      <c r="F39">
        <v>19.469333333333335</v>
      </c>
      <c r="G39">
        <v>33.820772727272718</v>
      </c>
      <c r="H39">
        <v>19.398400000000006</v>
      </c>
      <c r="I39">
        <v>11.741684684684676</v>
      </c>
      <c r="J39">
        <v>23.798375000000007</v>
      </c>
      <c r="K39">
        <v>28.078429824561432</v>
      </c>
    </row>
    <row r="40" spans="1:16" x14ac:dyDescent="0.2">
      <c r="A40">
        <v>2019</v>
      </c>
      <c r="B40">
        <v>14</v>
      </c>
      <c r="C40">
        <v>15.506528301886798</v>
      </c>
      <c r="D40">
        <v>19.389333333333326</v>
      </c>
      <c r="E40">
        <v>20.155925925925928</v>
      </c>
      <c r="F40">
        <v>19.019666666666669</v>
      </c>
      <c r="G40">
        <v>35.569636363636405</v>
      </c>
      <c r="H40">
        <v>19.398400000000006</v>
      </c>
      <c r="I40">
        <v>15.199828828828846</v>
      </c>
      <c r="J40">
        <v>26.074000000000009</v>
      </c>
      <c r="K40">
        <v>28.618377192982479</v>
      </c>
    </row>
    <row r="41" spans="1:16" x14ac:dyDescent="0.2">
      <c r="A41">
        <v>2019</v>
      </c>
      <c r="B41">
        <v>15</v>
      </c>
      <c r="C41">
        <v>18.776754716981138</v>
      </c>
      <c r="D41">
        <v>23.176629629629641</v>
      </c>
      <c r="E41">
        <v>24.422000000000011</v>
      </c>
      <c r="F41">
        <v>19.019666666666669</v>
      </c>
      <c r="G41">
        <v>29.936484848484881</v>
      </c>
      <c r="H41">
        <v>22.000400000000003</v>
      </c>
      <c r="I41">
        <v>14.040027027027033</v>
      </c>
      <c r="J41">
        <v>26.535666666666675</v>
      </c>
      <c r="K41">
        <v>26.385359649122808</v>
      </c>
    </row>
    <row r="42" spans="1:16" x14ac:dyDescent="0.2">
      <c r="A42">
        <v>2019</v>
      </c>
      <c r="B42">
        <v>16</v>
      </c>
      <c r="C42">
        <v>18.42822641509434</v>
      </c>
      <c r="D42">
        <v>22.519950617283957</v>
      </c>
      <c r="E42">
        <v>23.505018518518519</v>
      </c>
      <c r="F42">
        <v>20.21629166666667</v>
      </c>
      <c r="G42">
        <v>35.805757575757603</v>
      </c>
      <c r="H42">
        <v>23.0412</v>
      </c>
      <c r="I42">
        <v>12.279346846846849</v>
      </c>
      <c r="J42">
        <v>27.182000000000013</v>
      </c>
      <c r="K42">
        <v>26.995837719298219</v>
      </c>
    </row>
    <row r="43" spans="1:16" x14ac:dyDescent="0.2">
      <c r="A43">
        <v>2019</v>
      </c>
      <c r="B43">
        <v>17</v>
      </c>
      <c r="C43">
        <v>19.881471698113213</v>
      </c>
      <c r="D43">
        <v>21.410555555555561</v>
      </c>
      <c r="E43">
        <v>24.073444444444437</v>
      </c>
      <c r="F43">
        <v>22.210666666666668</v>
      </c>
      <c r="G43">
        <v>32.013878787878781</v>
      </c>
      <c r="H43">
        <v>23.0412</v>
      </c>
      <c r="I43">
        <v>10.706999999999994</v>
      </c>
      <c r="J43">
        <v>26.578083333333339</v>
      </c>
      <c r="K43">
        <v>26.440285087719307</v>
      </c>
    </row>
    <row r="44" spans="1:16" x14ac:dyDescent="0.2">
      <c r="A44">
        <v>2019</v>
      </c>
      <c r="B44">
        <v>18</v>
      </c>
      <c r="C44">
        <v>21.050188679245281</v>
      </c>
      <c r="D44">
        <v>22.667296296296289</v>
      </c>
      <c r="E44">
        <v>25.915666666666656</v>
      </c>
      <c r="F44">
        <v>22.210666666666668</v>
      </c>
      <c r="G44">
        <v>32.022878787878838</v>
      </c>
      <c r="H44">
        <v>23.189771428571426</v>
      </c>
      <c r="I44">
        <v>11.401054054054052</v>
      </c>
      <c r="J44">
        <v>25.370249999999999</v>
      </c>
      <c r="K44">
        <v>22.944162280701779</v>
      </c>
    </row>
    <row r="45" spans="1:16" x14ac:dyDescent="0.2">
      <c r="A45">
        <v>2019</v>
      </c>
      <c r="B45">
        <v>19</v>
      </c>
      <c r="C45">
        <v>20.856716981132081</v>
      </c>
      <c r="D45">
        <v>24.43376543209876</v>
      </c>
      <c r="E45">
        <v>26.400796296296285</v>
      </c>
      <c r="F45">
        <v>21.395416666666669</v>
      </c>
      <c r="G45">
        <v>31.468969696969715</v>
      </c>
      <c r="H45">
        <v>24.081199999999999</v>
      </c>
      <c r="I45">
        <v>11.19783333333335</v>
      </c>
      <c r="J45">
        <v>26.485937499999995</v>
      </c>
      <c r="K45">
        <v>30.409100877192969</v>
      </c>
    </row>
    <row r="46" spans="1:16" x14ac:dyDescent="0.2">
      <c r="A46">
        <v>2019</v>
      </c>
      <c r="B46">
        <v>20</v>
      </c>
      <c r="C46">
        <v>18.223396226415097</v>
      </c>
      <c r="D46">
        <v>24.303555555555565</v>
      </c>
      <c r="E46">
        <v>25.513592592592591</v>
      </c>
      <c r="F46">
        <v>18.949666666666669</v>
      </c>
      <c r="G46">
        <v>34.606696969697012</v>
      </c>
      <c r="H46">
        <v>24.081199999999999</v>
      </c>
      <c r="I46">
        <v>12.373099099099111</v>
      </c>
      <c r="J46">
        <v>29.832999999999988</v>
      </c>
      <c r="K46">
        <v>30.912785087719293</v>
      </c>
    </row>
    <row r="47" spans="1:16" x14ac:dyDescent="0.2">
      <c r="A47">
        <v>2019</v>
      </c>
      <c r="B47">
        <v>21</v>
      </c>
      <c r="C47">
        <v>16.800452830188682</v>
      </c>
      <c r="D47">
        <v>22.085938271604935</v>
      </c>
      <c r="E47">
        <v>24.815222222222225</v>
      </c>
      <c r="F47">
        <v>18.949666666666669</v>
      </c>
      <c r="G47">
        <v>35.170878787878756</v>
      </c>
      <c r="H47">
        <v>24.081199999999999</v>
      </c>
      <c r="I47">
        <v>12.46230630630631</v>
      </c>
      <c r="J47">
        <v>29.98770833333333</v>
      </c>
      <c r="K47">
        <v>28.417381578947346</v>
      </c>
    </row>
    <row r="48" spans="1:16" x14ac:dyDescent="0.2">
      <c r="A48">
        <v>2019</v>
      </c>
      <c r="B48">
        <v>22</v>
      </c>
      <c r="C48">
        <v>19.075245283018866</v>
      </c>
      <c r="D48">
        <v>23.517691358024692</v>
      </c>
      <c r="E48">
        <v>24.986333333333334</v>
      </c>
      <c r="F48">
        <v>18.965833333333336</v>
      </c>
      <c r="G48">
        <v>31.212000000000021</v>
      </c>
      <c r="H48">
        <v>24.156285714285719</v>
      </c>
      <c r="I48">
        <v>12.630211711711699</v>
      </c>
      <c r="J48">
        <v>30.761250000000004</v>
      </c>
      <c r="K48">
        <v>29.319350877192999</v>
      </c>
    </row>
    <row r="49" spans="1:11" x14ac:dyDescent="0.2">
      <c r="A49">
        <v>2019</v>
      </c>
      <c r="B49">
        <v>23</v>
      </c>
      <c r="C49">
        <v>22.51584905660377</v>
      </c>
      <c r="D49">
        <v>25.598037037037038</v>
      </c>
      <c r="E49">
        <v>27.108111111111114</v>
      </c>
      <c r="F49">
        <v>19.079000000000004</v>
      </c>
      <c r="G49">
        <v>36.577060606060634</v>
      </c>
      <c r="H49">
        <v>24.212600000000005</v>
      </c>
      <c r="I49">
        <v>17.565563063063074</v>
      </c>
      <c r="J49">
        <v>30.650951388888888</v>
      </c>
      <c r="K49">
        <v>34.29647368421049</v>
      </c>
    </row>
    <row r="50" spans="1:11" x14ac:dyDescent="0.2">
      <c r="A50">
        <v>2019</v>
      </c>
      <c r="B50">
        <v>24</v>
      </c>
      <c r="C50">
        <v>24.693641509433963</v>
      </c>
      <c r="D50">
        <v>29.265469135802462</v>
      </c>
      <c r="E50">
        <v>28.113787037037028</v>
      </c>
      <c r="F50">
        <v>19.079000000000004</v>
      </c>
      <c r="G50">
        <v>37.231424242424204</v>
      </c>
      <c r="H50">
        <v>24.212600000000005</v>
      </c>
      <c r="I50">
        <v>17.873810810810813</v>
      </c>
      <c r="J50">
        <v>29.437666666666662</v>
      </c>
      <c r="K50">
        <v>32.150021929824582</v>
      </c>
    </row>
    <row r="51" spans="1:11" x14ac:dyDescent="0.2">
      <c r="A51">
        <v>2019</v>
      </c>
      <c r="B51">
        <v>25</v>
      </c>
      <c r="C51">
        <v>23.180000000000003</v>
      </c>
      <c r="D51">
        <v>28.429345679012354</v>
      </c>
      <c r="E51">
        <v>28.741499999999988</v>
      </c>
      <c r="F51">
        <v>19.079000000000004</v>
      </c>
      <c r="G51">
        <v>40.535303030302998</v>
      </c>
      <c r="H51">
        <v>24.212600000000005</v>
      </c>
      <c r="I51">
        <v>18.000213963963969</v>
      </c>
      <c r="J51">
        <v>29.437666666666662</v>
      </c>
      <c r="K51">
        <v>32.278789473684249</v>
      </c>
    </row>
    <row r="52" spans="1:11" x14ac:dyDescent="0.2">
      <c r="A52">
        <v>2018</v>
      </c>
      <c r="B52">
        <v>1</v>
      </c>
      <c r="C52">
        <v>3.5213584905660373</v>
      </c>
      <c r="D52">
        <v>2.5156666666666676</v>
      </c>
      <c r="E52">
        <v>1.8864999999999987</v>
      </c>
      <c r="F52">
        <v>3.0500000000000003</v>
      </c>
      <c r="G52">
        <v>2.8973813559322039</v>
      </c>
      <c r="H52">
        <v>2.2639999999999998</v>
      </c>
      <c r="I52">
        <v>3.1804801587301634</v>
      </c>
      <c r="J52">
        <v>1.3652499999999999</v>
      </c>
      <c r="K52">
        <v>2.2181228070175458</v>
      </c>
    </row>
    <row r="53" spans="1:11" x14ac:dyDescent="0.2">
      <c r="A53">
        <v>2018</v>
      </c>
      <c r="B53">
        <v>2</v>
      </c>
      <c r="C53">
        <v>3.6055849056603773</v>
      </c>
      <c r="D53">
        <v>2.7330151515151515</v>
      </c>
      <c r="E53">
        <v>3.5325964912280692</v>
      </c>
      <c r="F53">
        <v>3.0500000000000003</v>
      </c>
      <c r="G53">
        <v>5.2317966101694919</v>
      </c>
      <c r="H53">
        <v>2.2639999999999998</v>
      </c>
      <c r="I53">
        <v>5.2665515873015964</v>
      </c>
      <c r="J53">
        <v>1.4769464285714282</v>
      </c>
      <c r="K53">
        <v>3.5970906432748513</v>
      </c>
    </row>
    <row r="54" spans="1:11" x14ac:dyDescent="0.2">
      <c r="A54">
        <v>2018</v>
      </c>
      <c r="B54">
        <v>3</v>
      </c>
      <c r="C54">
        <v>3.7740377358490567</v>
      </c>
      <c r="D54">
        <v>2.7673333333333332</v>
      </c>
      <c r="E54">
        <v>4.2942982456140353</v>
      </c>
      <c r="F54">
        <v>3.0500000000000003</v>
      </c>
      <c r="G54">
        <v>8.713112994350281</v>
      </c>
      <c r="H54">
        <v>2.2639999999999998</v>
      </c>
      <c r="I54">
        <v>6.2294126984126956</v>
      </c>
      <c r="J54">
        <v>1.8864999999999992</v>
      </c>
      <c r="K54">
        <v>3.9569064327485339</v>
      </c>
    </row>
    <row r="55" spans="1:11" x14ac:dyDescent="0.2">
      <c r="A55">
        <v>2018</v>
      </c>
      <c r="B55">
        <v>4</v>
      </c>
      <c r="C55">
        <v>4.8701886792452829</v>
      </c>
      <c r="D55">
        <v>3.6594090909090911</v>
      </c>
      <c r="E55">
        <v>4.3538245614035089</v>
      </c>
      <c r="F55">
        <v>3.0226562500000003</v>
      </c>
      <c r="G55">
        <v>14.694937853107351</v>
      </c>
      <c r="H55">
        <v>3.0752857142857137</v>
      </c>
      <c r="I55">
        <v>5.4809047619047613</v>
      </c>
      <c r="J55">
        <v>3.3471785714285716</v>
      </c>
      <c r="K55">
        <v>5.632469298245617</v>
      </c>
    </row>
    <row r="56" spans="1:11" x14ac:dyDescent="0.2">
      <c r="A56">
        <v>2018</v>
      </c>
      <c r="B56">
        <v>5</v>
      </c>
      <c r="C56">
        <v>5.4182641509433962</v>
      </c>
      <c r="D56">
        <v>4.5056363636363637</v>
      </c>
      <c r="E56">
        <v>5.3646666666666656</v>
      </c>
      <c r="F56">
        <v>3.0187500000000003</v>
      </c>
      <c r="G56">
        <v>18.97877401129945</v>
      </c>
      <c r="H56">
        <v>4.1569999999999991</v>
      </c>
      <c r="I56">
        <v>6.163623015873017</v>
      </c>
      <c r="J56">
        <v>5.2947499999999996</v>
      </c>
      <c r="K56">
        <v>6.0641973684210484</v>
      </c>
    </row>
    <row r="57" spans="1:11" x14ac:dyDescent="0.2">
      <c r="A57">
        <v>2018</v>
      </c>
      <c r="B57">
        <v>6</v>
      </c>
      <c r="C57">
        <v>9.9062641509433984</v>
      </c>
      <c r="D57">
        <v>5.3402121212121214</v>
      </c>
      <c r="E57">
        <v>5.6905964912280718</v>
      </c>
      <c r="F57">
        <v>3.0187500000000003</v>
      </c>
      <c r="G57">
        <v>20.328028248587593</v>
      </c>
      <c r="H57">
        <v>4.1569999999999991</v>
      </c>
      <c r="I57">
        <v>5.744992063492063</v>
      </c>
      <c r="J57">
        <v>6.6214464285714305</v>
      </c>
      <c r="K57">
        <v>6.494368421052636</v>
      </c>
    </row>
    <row r="58" spans="1:11" x14ac:dyDescent="0.2">
      <c r="A58">
        <v>2018</v>
      </c>
      <c r="B58">
        <v>7</v>
      </c>
      <c r="C58">
        <v>11.742641509433968</v>
      </c>
      <c r="D58">
        <v>7.872848484848487</v>
      </c>
      <c r="E58">
        <v>6.5397719298245596</v>
      </c>
      <c r="F58">
        <v>6.7561875000000011</v>
      </c>
      <c r="G58">
        <v>20.908807909604505</v>
      </c>
      <c r="H58">
        <v>4.1569999999999991</v>
      </c>
      <c r="I58">
        <v>6.5473769841269878</v>
      </c>
      <c r="J58">
        <v>7.358500000000002</v>
      </c>
      <c r="K58">
        <v>7.5560877192982447</v>
      </c>
    </row>
    <row r="59" spans="1:11" x14ac:dyDescent="0.2">
      <c r="A59">
        <v>2018</v>
      </c>
      <c r="B59">
        <v>8</v>
      </c>
      <c r="C59">
        <v>15.415396226415105</v>
      </c>
      <c r="D59">
        <v>13.997090909090911</v>
      </c>
      <c r="E59">
        <v>7.8121052631578918</v>
      </c>
      <c r="F59">
        <v>8.0020000000000007</v>
      </c>
      <c r="G59">
        <v>23.438508474576246</v>
      </c>
      <c r="H59">
        <v>9.1200285714285734</v>
      </c>
      <c r="I59">
        <v>9.9427341269841385</v>
      </c>
      <c r="J59">
        <v>8.9825714285714273</v>
      </c>
      <c r="K59">
        <v>7.9263771929824607</v>
      </c>
    </row>
    <row r="60" spans="1:11" x14ac:dyDescent="0.2">
      <c r="A60">
        <v>2018</v>
      </c>
      <c r="B60">
        <v>9</v>
      </c>
      <c r="C60">
        <v>18.209056603773583</v>
      </c>
      <c r="D60">
        <v>16.714999999999993</v>
      </c>
      <c r="E60">
        <v>10.062666666666669</v>
      </c>
      <c r="F60">
        <v>8.0020000000000007</v>
      </c>
      <c r="G60">
        <v>25.316740112994367</v>
      </c>
      <c r="H60">
        <v>9.9472000000000005</v>
      </c>
      <c r="I60">
        <v>10.563301587301591</v>
      </c>
      <c r="J60">
        <v>9.8193035714285681</v>
      </c>
      <c r="K60">
        <v>10.509464912280711</v>
      </c>
    </row>
    <row r="61" spans="1:11" x14ac:dyDescent="0.2">
      <c r="A61">
        <v>2018</v>
      </c>
      <c r="B61">
        <v>10</v>
      </c>
      <c r="C61">
        <v>19.605886792452829</v>
      </c>
      <c r="D61">
        <v>19.376515151515154</v>
      </c>
      <c r="E61">
        <v>10.079508771929827</v>
      </c>
      <c r="F61">
        <v>12.202468750000003</v>
      </c>
      <c r="G61">
        <v>28.777661016949189</v>
      </c>
      <c r="H61">
        <v>9.9472000000000005</v>
      </c>
      <c r="I61">
        <v>12.061575396825404</v>
      </c>
      <c r="J61">
        <v>17.178000000000001</v>
      </c>
      <c r="K61">
        <v>12.3403903508772</v>
      </c>
    </row>
    <row r="62" spans="1:11" x14ac:dyDescent="0.2">
      <c r="A62">
        <v>2018</v>
      </c>
      <c r="B62">
        <v>11</v>
      </c>
      <c r="C62">
        <v>22.85841509433963</v>
      </c>
      <c r="D62">
        <v>21.860651515151506</v>
      </c>
      <c r="E62">
        <v>11.983315789473689</v>
      </c>
      <c r="F62">
        <v>14.722750000000003</v>
      </c>
      <c r="G62">
        <v>25.576141242937847</v>
      </c>
      <c r="H62">
        <v>12.958114285714286</v>
      </c>
      <c r="I62">
        <v>10.748642857142867</v>
      </c>
      <c r="J62">
        <v>18.1495</v>
      </c>
      <c r="K62">
        <v>15.252078947368426</v>
      </c>
    </row>
    <row r="63" spans="1:11" x14ac:dyDescent="0.2">
      <c r="A63">
        <v>2018</v>
      </c>
      <c r="B63">
        <v>12</v>
      </c>
      <c r="C63">
        <v>21.874062893081756</v>
      </c>
      <c r="D63">
        <v>22.450848484848475</v>
      </c>
      <c r="E63">
        <v>14.53145614035088</v>
      </c>
      <c r="F63">
        <v>14.722750000000003</v>
      </c>
      <c r="G63">
        <v>30.052124293785315</v>
      </c>
      <c r="H63">
        <v>20.485400000000002</v>
      </c>
      <c r="I63">
        <v>13.21100396825398</v>
      </c>
      <c r="J63">
        <v>20.578250000000001</v>
      </c>
      <c r="K63">
        <v>18.840885964912296</v>
      </c>
    </row>
    <row r="64" spans="1:11" x14ac:dyDescent="0.2">
      <c r="A64">
        <v>2018</v>
      </c>
      <c r="B64">
        <v>13</v>
      </c>
      <c r="C64">
        <v>19.905358490566037</v>
      </c>
      <c r="D64">
        <v>21.570499999999996</v>
      </c>
      <c r="E64">
        <v>16.866333333333333</v>
      </c>
      <c r="F64">
        <v>16.344749999999998</v>
      </c>
      <c r="G64">
        <v>32.275384180790965</v>
      </c>
      <c r="H64">
        <v>20.485400000000002</v>
      </c>
      <c r="I64">
        <v>14.368277777777795</v>
      </c>
      <c r="J64">
        <v>22.556249999999995</v>
      </c>
      <c r="K64">
        <v>21.38289035087719</v>
      </c>
    </row>
    <row r="65" spans="1:11" x14ac:dyDescent="0.2">
      <c r="A65">
        <v>2018</v>
      </c>
      <c r="B65">
        <v>14</v>
      </c>
      <c r="C65">
        <v>21.728050314465413</v>
      </c>
      <c r="D65">
        <v>20.754030303030309</v>
      </c>
      <c r="E65">
        <v>19.222824561403513</v>
      </c>
      <c r="F65">
        <v>17.966749999999994</v>
      </c>
      <c r="G65">
        <v>29.512491525423727</v>
      </c>
      <c r="H65">
        <v>20.485400000000002</v>
      </c>
      <c r="I65">
        <v>14.778817460317462</v>
      </c>
      <c r="J65">
        <v>24.534249999999993</v>
      </c>
      <c r="K65">
        <v>28.745464912280685</v>
      </c>
    </row>
    <row r="66" spans="1:11" x14ac:dyDescent="0.2">
      <c r="A66">
        <v>2018</v>
      </c>
      <c r="B66">
        <v>15</v>
      </c>
      <c r="C66">
        <v>22.639396226415098</v>
      </c>
      <c r="D66">
        <v>21.461393939393943</v>
      </c>
      <c r="E66">
        <v>19.907473684210519</v>
      </c>
      <c r="F66">
        <v>17.966749999999994</v>
      </c>
      <c r="G66">
        <v>30.417785310734509</v>
      </c>
      <c r="H66">
        <v>20.301542857142863</v>
      </c>
      <c r="I66">
        <v>14.266650793650793</v>
      </c>
      <c r="J66">
        <v>24.972642857142862</v>
      </c>
      <c r="K66">
        <v>28.694162280701732</v>
      </c>
    </row>
    <row r="67" spans="1:11" x14ac:dyDescent="0.2">
      <c r="A67">
        <v>2018</v>
      </c>
      <c r="B67">
        <v>16</v>
      </c>
      <c r="C67">
        <v>21.303999999999995</v>
      </c>
      <c r="D67">
        <v>23.80854545454546</v>
      </c>
      <c r="E67">
        <v>20.445859649122806</v>
      </c>
      <c r="F67">
        <v>17.886124999999996</v>
      </c>
      <c r="G67">
        <v>35.810576271186449</v>
      </c>
      <c r="H67">
        <v>20.228000000000005</v>
      </c>
      <c r="I67">
        <v>15.799682539682559</v>
      </c>
      <c r="J67">
        <v>25.148000000000003</v>
      </c>
      <c r="K67">
        <v>29.802789473684214</v>
      </c>
    </row>
    <row r="68" spans="1:11" x14ac:dyDescent="0.2">
      <c r="A68">
        <v>2018</v>
      </c>
      <c r="B68">
        <v>17</v>
      </c>
      <c r="C68">
        <v>20.229081761006288</v>
      </c>
      <c r="D68">
        <v>24.917333333333328</v>
      </c>
      <c r="E68">
        <v>21.64533333333333</v>
      </c>
      <c r="F68">
        <v>17.751749999999998</v>
      </c>
      <c r="G68">
        <v>33.97622598870057</v>
      </c>
      <c r="H68">
        <v>20.228000000000005</v>
      </c>
      <c r="I68">
        <v>15.584285714285684</v>
      </c>
      <c r="J68">
        <v>26.855642857142865</v>
      </c>
      <c r="K68">
        <v>33.936447368421092</v>
      </c>
    </row>
    <row r="69" spans="1:11" x14ac:dyDescent="0.2">
      <c r="A69">
        <v>2018</v>
      </c>
      <c r="B69">
        <v>18</v>
      </c>
      <c r="C69">
        <v>18.079245283018874</v>
      </c>
      <c r="D69">
        <v>27.438287878787875</v>
      </c>
      <c r="E69">
        <v>18.077421052631582</v>
      </c>
      <c r="F69">
        <v>17.751749999999998</v>
      </c>
      <c r="G69">
        <v>35.223531073446317</v>
      </c>
      <c r="H69">
        <v>20.828571428571429</v>
      </c>
      <c r="I69">
        <v>13.137555555555551</v>
      </c>
      <c r="J69">
        <v>27.014142857142865</v>
      </c>
      <c r="K69">
        <v>33.763513157894771</v>
      </c>
    </row>
    <row r="70" spans="1:11" x14ac:dyDescent="0.2">
      <c r="A70">
        <v>2018</v>
      </c>
      <c r="B70">
        <v>19</v>
      </c>
      <c r="C70">
        <v>19.039949685534598</v>
      </c>
      <c r="D70">
        <v>25.968878787878804</v>
      </c>
      <c r="E70">
        <v>21.731719298245611</v>
      </c>
      <c r="F70">
        <v>18.695562500000001</v>
      </c>
      <c r="G70">
        <v>39.061881355932165</v>
      </c>
      <c r="H70">
        <v>24.431999999999999</v>
      </c>
      <c r="I70">
        <v>12.890400793650805</v>
      </c>
      <c r="J70">
        <v>27.177000000000003</v>
      </c>
      <c r="K70">
        <v>32.840785087719311</v>
      </c>
    </row>
    <row r="71" spans="1:11" x14ac:dyDescent="0.2">
      <c r="A71">
        <v>2018</v>
      </c>
      <c r="B71">
        <v>20</v>
      </c>
      <c r="C71">
        <v>19.520301886792449</v>
      </c>
      <c r="D71">
        <v>25.817712121212118</v>
      </c>
      <c r="E71">
        <v>23.891771929824557</v>
      </c>
      <c r="F71">
        <v>21.527000000000001</v>
      </c>
      <c r="G71">
        <v>34.497446327683605</v>
      </c>
      <c r="H71">
        <v>24.431999999999999</v>
      </c>
      <c r="I71">
        <v>14.781587301587313</v>
      </c>
      <c r="J71">
        <v>28.388071428571418</v>
      </c>
      <c r="K71">
        <v>33.844929824561397</v>
      </c>
    </row>
    <row r="72" spans="1:11" x14ac:dyDescent="0.2">
      <c r="A72">
        <v>2018</v>
      </c>
      <c r="B72">
        <v>21</v>
      </c>
      <c r="C72">
        <v>19.051471698113211</v>
      </c>
      <c r="D72">
        <v>23.522909090909081</v>
      </c>
      <c r="E72">
        <v>21.643666666666665</v>
      </c>
      <c r="F72">
        <v>21.527000000000001</v>
      </c>
      <c r="G72">
        <v>35.893971751412451</v>
      </c>
      <c r="H72">
        <v>24.431999999999999</v>
      </c>
      <c r="I72">
        <v>15.277666666666667</v>
      </c>
      <c r="J72">
        <v>30.567999999999994</v>
      </c>
      <c r="K72">
        <v>32.672758771929786</v>
      </c>
    </row>
    <row r="73" spans="1:11" x14ac:dyDescent="0.2">
      <c r="A73">
        <v>2018</v>
      </c>
      <c r="B73">
        <v>22</v>
      </c>
      <c r="C73">
        <v>18.965635220125783</v>
      </c>
      <c r="D73">
        <v>24.373818181818173</v>
      </c>
      <c r="E73">
        <v>21.422929824561397</v>
      </c>
      <c r="F73">
        <v>21.073708333333336</v>
      </c>
      <c r="G73">
        <v>33.514830508474539</v>
      </c>
      <c r="H73">
        <v>21.843771428571433</v>
      </c>
      <c r="I73">
        <v>16.23809920634918</v>
      </c>
      <c r="J73">
        <v>31.003857142857154</v>
      </c>
      <c r="K73">
        <v>33.605350877192969</v>
      </c>
    </row>
    <row r="74" spans="1:11" x14ac:dyDescent="0.2">
      <c r="A74">
        <v>2018</v>
      </c>
      <c r="B74">
        <v>23</v>
      </c>
      <c r="C74">
        <v>18.793962264150942</v>
      </c>
      <c r="D74">
        <v>28.03712121212121</v>
      </c>
      <c r="E74">
        <v>21.870456140350875</v>
      </c>
      <c r="F74">
        <v>17.900666666666666</v>
      </c>
      <c r="G74">
        <v>38.956446327683594</v>
      </c>
      <c r="H74">
        <v>19.902600000000003</v>
      </c>
      <c r="I74">
        <v>15.719718253968258</v>
      </c>
      <c r="J74">
        <v>31.330750000000005</v>
      </c>
      <c r="K74">
        <v>33.780267543859658</v>
      </c>
    </row>
    <row r="75" spans="1:11" x14ac:dyDescent="0.2">
      <c r="A75">
        <v>2018</v>
      </c>
      <c r="B75">
        <v>24</v>
      </c>
      <c r="C75">
        <v>14.950440251572333</v>
      </c>
      <c r="D75">
        <v>26.915075757575757</v>
      </c>
      <c r="E75">
        <v>22.059192982456139</v>
      </c>
      <c r="F75">
        <v>17.900666666666666</v>
      </c>
      <c r="G75">
        <v>33.406163841807874</v>
      </c>
      <c r="H75">
        <v>19.902600000000003</v>
      </c>
      <c r="I75">
        <v>16.050976190476174</v>
      </c>
      <c r="J75">
        <v>29.425196428571439</v>
      </c>
      <c r="K75">
        <v>33.102763157894707</v>
      </c>
    </row>
    <row r="76" spans="1:11" x14ac:dyDescent="0.2">
      <c r="A76">
        <v>2018</v>
      </c>
      <c r="B76">
        <v>25</v>
      </c>
      <c r="C76">
        <v>13.028679245283023</v>
      </c>
      <c r="D76">
        <v>27.265999999999998</v>
      </c>
      <c r="E76">
        <v>21.887</v>
      </c>
      <c r="F76">
        <v>17.900666666666666</v>
      </c>
      <c r="G76">
        <v>29.580000000000002</v>
      </c>
      <c r="H76">
        <v>19.902600000000003</v>
      </c>
      <c r="I76">
        <v>15.185920634920643</v>
      </c>
      <c r="J76">
        <v>28.905500000000014</v>
      </c>
      <c r="K76">
        <v>32.873684210526342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17F39-7A80-5A4A-B3EF-C4A815EB4542}">
  <dimension ref="A1:X52"/>
  <sheetViews>
    <sheetView topLeftCell="A10" workbookViewId="0">
      <selection activeCell="M9" sqref="M9"/>
    </sheetView>
  </sheetViews>
  <sheetFormatPr baseColWidth="10" defaultRowHeight="16" x14ac:dyDescent="0.2"/>
  <cols>
    <col min="13" max="13" width="11.1640625" bestFit="1" customWidth="1"/>
  </cols>
  <sheetData>
    <row r="1" spans="1:24" x14ac:dyDescent="0.2">
      <c r="B1" t="s">
        <v>11</v>
      </c>
      <c r="C1" t="s">
        <v>13</v>
      </c>
      <c r="D1" t="s">
        <v>15</v>
      </c>
      <c r="E1" s="1" t="s">
        <v>17</v>
      </c>
      <c r="F1" s="1" t="s">
        <v>19</v>
      </c>
      <c r="G1" s="1" t="s">
        <v>21</v>
      </c>
      <c r="H1" s="1" t="s">
        <v>23</v>
      </c>
      <c r="I1" s="1" t="s">
        <v>25</v>
      </c>
      <c r="J1" s="1" t="s">
        <v>27</v>
      </c>
    </row>
    <row r="2" spans="1:24" x14ac:dyDescent="0.2">
      <c r="A2">
        <v>1</v>
      </c>
      <c r="B2">
        <v>3.8583144654088044</v>
      </c>
      <c r="C2">
        <v>1.6124003527336861</v>
      </c>
      <c r="D2">
        <v>2.5289658119658118</v>
      </c>
      <c r="E2">
        <v>1.7714444444444446</v>
      </c>
      <c r="F2">
        <v>2.4625232836843001</v>
      </c>
      <c r="G2">
        <v>1.8019999999999998</v>
      </c>
      <c r="H2">
        <v>2.2808628439363754</v>
      </c>
      <c r="I2">
        <v>1.3134166666666667</v>
      </c>
      <c r="J2">
        <v>2.3725000000000005</v>
      </c>
    </row>
    <row r="3" spans="1:24" x14ac:dyDescent="0.2">
      <c r="A3">
        <v>2</v>
      </c>
      <c r="B3">
        <v>4.7853809133169261</v>
      </c>
      <c r="C3">
        <v>2.0317478488589598</v>
      </c>
      <c r="D3">
        <v>4.1680604163542752</v>
      </c>
      <c r="E3">
        <v>1.7714444444444446</v>
      </c>
      <c r="F3">
        <v>5.5944086629001886</v>
      </c>
      <c r="G3">
        <v>1.8019999999999998</v>
      </c>
      <c r="H3">
        <v>3.4965326524003033</v>
      </c>
      <c r="I3">
        <v>1.5393988095238094</v>
      </c>
      <c r="J3">
        <v>3.6248255360623758</v>
      </c>
    </row>
    <row r="4" spans="1:24" x14ac:dyDescent="0.2">
      <c r="A4">
        <v>3</v>
      </c>
      <c r="B4">
        <v>6.1461296144380633</v>
      </c>
      <c r="C4">
        <v>2.900873015873016</v>
      </c>
      <c r="D4">
        <v>5.4147740353376319</v>
      </c>
      <c r="E4">
        <v>1.7714305555555556</v>
      </c>
      <c r="F4">
        <v>8.6483903441191625</v>
      </c>
      <c r="G4">
        <v>1.8019999999999998</v>
      </c>
      <c r="H4">
        <v>4.1123028196263478</v>
      </c>
      <c r="I4">
        <v>2.3177986111111104</v>
      </c>
      <c r="J4">
        <v>3.2936203703703684</v>
      </c>
    </row>
    <row r="5" spans="1:24" x14ac:dyDescent="0.2">
      <c r="A5">
        <v>4</v>
      </c>
      <c r="B5">
        <v>7.4041536778780426</v>
      </c>
      <c r="C5">
        <v>4.1617407140184914</v>
      </c>
      <c r="D5">
        <v>6.8564351102114252</v>
      </c>
      <c r="E5">
        <v>2.2024270833333333</v>
      </c>
      <c r="F5">
        <v>12.931610169491529</v>
      </c>
      <c r="G5">
        <v>2.2978928571428572</v>
      </c>
      <c r="H5">
        <v>4.7929868019279773</v>
      </c>
      <c r="I5">
        <v>3.2928373015873014</v>
      </c>
      <c r="J5">
        <v>5.2605526315789488</v>
      </c>
      <c r="X5" t="s">
        <v>64</v>
      </c>
    </row>
    <row r="6" spans="1:24" x14ac:dyDescent="0.2">
      <c r="A6">
        <v>5</v>
      </c>
      <c r="B6">
        <v>8.5842712605961182</v>
      </c>
      <c r="C6">
        <v>5.6241251135695585</v>
      </c>
      <c r="D6">
        <v>7.6990658831908831</v>
      </c>
      <c r="E6">
        <v>2.2639999999999998</v>
      </c>
      <c r="F6">
        <v>14.261974833076536</v>
      </c>
      <c r="G6">
        <v>2.9590833333333335</v>
      </c>
      <c r="H6">
        <v>5.0613445735651581</v>
      </c>
      <c r="I6">
        <v>5.0067916666666674</v>
      </c>
      <c r="J6">
        <v>6.0160599415204699</v>
      </c>
      <c r="L6" t="s">
        <v>33</v>
      </c>
      <c r="X6" s="4">
        <v>2.5938999999999998E-6</v>
      </c>
    </row>
    <row r="7" spans="1:24" x14ac:dyDescent="0.2">
      <c r="A7">
        <v>6</v>
      </c>
      <c r="B7">
        <v>10.602467596390484</v>
      </c>
      <c r="C7">
        <v>6.5868193843193863</v>
      </c>
      <c r="D7">
        <v>9.2118588494027112</v>
      </c>
      <c r="E7">
        <v>2.7820833333333339</v>
      </c>
      <c r="F7">
        <v>16.283566341379906</v>
      </c>
      <c r="G7">
        <v>2.9590833333333335</v>
      </c>
      <c r="H7">
        <v>5.3035554714378224</v>
      </c>
      <c r="I7">
        <v>7.2463988095238108</v>
      </c>
      <c r="J7">
        <v>7.2066359649122829</v>
      </c>
      <c r="L7" s="2"/>
      <c r="M7" s="2" t="s">
        <v>5</v>
      </c>
      <c r="N7" s="2" t="s">
        <v>6</v>
      </c>
      <c r="O7" s="2" t="s">
        <v>7</v>
      </c>
      <c r="P7" s="2" t="s">
        <v>8</v>
      </c>
      <c r="Q7" s="2" t="s">
        <v>9</v>
      </c>
      <c r="R7" s="2" t="s">
        <v>1</v>
      </c>
      <c r="S7" s="2" t="s">
        <v>2</v>
      </c>
      <c r="T7" s="2" t="s">
        <v>3</v>
      </c>
      <c r="U7" s="2" t="s">
        <v>4</v>
      </c>
      <c r="X7" s="4">
        <v>9.1919999999999994E-6</v>
      </c>
    </row>
    <row r="8" spans="1:24" x14ac:dyDescent="0.2">
      <c r="A8">
        <v>7</v>
      </c>
      <c r="B8">
        <v>11.118440251572329</v>
      </c>
      <c r="C8">
        <v>8.077281799476248</v>
      </c>
      <c r="D8">
        <v>10.838366046883591</v>
      </c>
      <c r="E8">
        <v>6.2920625000000001</v>
      </c>
      <c r="F8">
        <v>19.099447183701418</v>
      </c>
      <c r="G8">
        <v>2.9590833333333335</v>
      </c>
      <c r="H8">
        <v>7.3833532713385672</v>
      </c>
      <c r="I8">
        <v>9.082097222222222</v>
      </c>
      <c r="J8">
        <v>7.7358508771929868</v>
      </c>
      <c r="L8" s="3" t="s">
        <v>30</v>
      </c>
      <c r="M8" s="3">
        <f>(SUM(B28:B32)/COUNT(B28:B32))^0.25</f>
        <v>6.786897378474281</v>
      </c>
      <c r="N8" s="3">
        <f>(SUM(C28:C34)/COUNT(C28:C34))^0.25</f>
        <v>5.7277305324269756</v>
      </c>
      <c r="O8" s="3">
        <f>(SUM(D28:D34)/COUNT(D28:D34))^0.25</f>
        <v>7.9474583941154791</v>
      </c>
      <c r="P8" s="3">
        <f>(SUM(E28:E36)/COUNT(E28:E36))^0.25</f>
        <v>6.8171295099501057</v>
      </c>
      <c r="Q8" s="3">
        <f>(SUM(F28:F32)/COUNT(F28:F32))^0.25</f>
        <v>11.101640922725675</v>
      </c>
      <c r="R8" s="3">
        <f>(SUM(G28:G37)/COUNT(G28:G37))^0.25</f>
        <v>6.0794296342832643</v>
      </c>
      <c r="S8" s="3">
        <f>(SUM(H28:H35)/COUNT(H28:H35))^0.25</f>
        <v>6.574728891765365</v>
      </c>
      <c r="T8" s="3">
        <f>(SUM(I28:I35)/COUNT(I28:I35))^0.25</f>
        <v>7.5711203971675918</v>
      </c>
      <c r="U8" s="3">
        <f>(SUM(J28:J38)/COUNT(J28:J38))^0.25</f>
        <v>10.748232926696282</v>
      </c>
      <c r="X8" s="4">
        <v>1.1849000000000001E-6</v>
      </c>
    </row>
    <row r="9" spans="1:24" x14ac:dyDescent="0.2">
      <c r="A9">
        <v>8</v>
      </c>
      <c r="B9">
        <v>13.134935739677333</v>
      </c>
      <c r="C9">
        <v>10.680847469403025</v>
      </c>
      <c r="D9">
        <v>12.406197480881685</v>
      </c>
      <c r="E9">
        <v>8.9030138888888875</v>
      </c>
      <c r="F9">
        <v>22.309470809792838</v>
      </c>
      <c r="G9">
        <v>7.6277547619047636</v>
      </c>
      <c r="H9">
        <v>9.8827522165022224</v>
      </c>
      <c r="I9">
        <v>11.236607142857141</v>
      </c>
      <c r="J9">
        <v>8.4091769005847983</v>
      </c>
      <c r="L9" s="3" t="s">
        <v>32</v>
      </c>
      <c r="M9" s="3">
        <f>(SUM(B33:B52)/COUNT(B33:B52))^0.25</f>
        <v>18.811484881138774</v>
      </c>
      <c r="N9" s="3">
        <f>(SUM(C35:C52)/COUNT(C35:C52))^0.25</f>
        <v>23.710934943951429</v>
      </c>
      <c r="O9" s="3">
        <f>(SUM(D35:D52)/COUNT(D35:D52))^0.25</f>
        <v>22.784100446448157</v>
      </c>
      <c r="P9" s="3">
        <f>(SUM(E37:E52)/COUNT(E37:E52))^0.25</f>
        <v>19.081220124326737</v>
      </c>
      <c r="Q9" s="3">
        <f>(SUM(F33:F52)/COUNT(F33:F52))^0.25</f>
        <v>30.759601640082106</v>
      </c>
      <c r="R9" s="3">
        <f>(SUM(G38:G52)/COUNT(G38:G52))^0.25</f>
        <v>20.592156227857409</v>
      </c>
      <c r="S9" s="3">
        <f>(SUM(H36:H52)/COUNT(H36:H52))^0.25</f>
        <v>15.225327737179216</v>
      </c>
      <c r="T9" s="3">
        <f>(SUM(I36:I52)/COUNT(I36:I52))^0.25</f>
        <v>25.731811799795011</v>
      </c>
      <c r="U9" s="3">
        <f>(SUM(J39:J52)/COUNT(J39:J52))^0.25</f>
        <v>28.902401070144879</v>
      </c>
      <c r="X9" s="4">
        <v>1.1279E-5</v>
      </c>
    </row>
    <row r="10" spans="1:24" x14ac:dyDescent="0.2">
      <c r="A10">
        <v>9</v>
      </c>
      <c r="B10">
        <v>14.981159420289856</v>
      </c>
      <c r="C10">
        <v>13.149526455026455</v>
      </c>
      <c r="D10">
        <v>14.15704594017094</v>
      </c>
      <c r="E10">
        <v>10.343972222222222</v>
      </c>
      <c r="F10">
        <v>26.036089368258882</v>
      </c>
      <c r="G10">
        <v>8.4058666666666682</v>
      </c>
      <c r="H10">
        <v>10.475887404210939</v>
      </c>
      <c r="I10">
        <v>14.072573412698413</v>
      </c>
      <c r="J10">
        <v>11.473606725146198</v>
      </c>
      <c r="X10" s="4">
        <v>2.2371999999999999E-6</v>
      </c>
    </row>
    <row r="11" spans="1:24" x14ac:dyDescent="0.2">
      <c r="A11">
        <v>10</v>
      </c>
      <c r="B11">
        <v>15.478151490292589</v>
      </c>
      <c r="C11">
        <v>16.691866749505639</v>
      </c>
      <c r="D11">
        <v>15.912755535562553</v>
      </c>
      <c r="E11">
        <v>13.535447916666667</v>
      </c>
      <c r="F11">
        <v>28.106358671460356</v>
      </c>
      <c r="G11">
        <v>8.4058666666666682</v>
      </c>
      <c r="H11">
        <v>12.174161062322829</v>
      </c>
      <c r="I11">
        <v>17.804000000000002</v>
      </c>
      <c r="J11">
        <v>14.13964912280702</v>
      </c>
      <c r="L11" t="s">
        <v>85</v>
      </c>
      <c r="X11" s="4">
        <v>1.0849999999999999E-5</v>
      </c>
    </row>
    <row r="12" spans="1:24" x14ac:dyDescent="0.2">
      <c r="A12">
        <v>11</v>
      </c>
      <c r="B12">
        <v>17.007052775499048</v>
      </c>
      <c r="C12">
        <v>20.955739217572546</v>
      </c>
      <c r="D12">
        <v>17.342537955465591</v>
      </c>
      <c r="E12">
        <v>17.093666666666667</v>
      </c>
      <c r="F12">
        <v>27.85378873480569</v>
      </c>
      <c r="G12">
        <v>10.895180952380954</v>
      </c>
      <c r="H12">
        <v>12.237387046710586</v>
      </c>
      <c r="I12">
        <v>19.645798611111108</v>
      </c>
      <c r="J12">
        <v>16.594149122807018</v>
      </c>
      <c r="M12" t="s">
        <v>5</v>
      </c>
      <c r="N12" t="s">
        <v>6</v>
      </c>
      <c r="O12" t="s">
        <v>7</v>
      </c>
      <c r="P12" t="s">
        <v>8</v>
      </c>
      <c r="Q12" t="s">
        <v>9</v>
      </c>
      <c r="R12" t="s">
        <v>1</v>
      </c>
      <c r="S12" t="s">
        <v>2</v>
      </c>
      <c r="T12" t="s">
        <v>3</v>
      </c>
      <c r="U12" t="s">
        <v>4</v>
      </c>
      <c r="X12" s="4">
        <v>8.8571999999999997E-7</v>
      </c>
    </row>
    <row r="13" spans="1:24" x14ac:dyDescent="0.2">
      <c r="A13">
        <v>12</v>
      </c>
      <c r="B13">
        <v>17.264853340625283</v>
      </c>
      <c r="C13">
        <v>20.88872683181016</v>
      </c>
      <c r="D13">
        <v>17.345548770430351</v>
      </c>
      <c r="E13">
        <v>17.093666666666667</v>
      </c>
      <c r="F13">
        <v>28.591017291559663</v>
      </c>
      <c r="G13">
        <v>17.118466666666666</v>
      </c>
      <c r="H13">
        <v>13.507618704839302</v>
      </c>
      <c r="I13">
        <v>21.167472222222219</v>
      </c>
      <c r="J13">
        <v>21.078513157894744</v>
      </c>
      <c r="L13" t="s">
        <v>30</v>
      </c>
      <c r="M13">
        <f>(M8*0.000001)/2</f>
        <v>3.3934486892371403E-6</v>
      </c>
      <c r="N13">
        <f t="shared" ref="N13:U13" si="0">(N8*0.000001)/2</f>
        <v>2.8638652662134877E-6</v>
      </c>
      <c r="O13">
        <f t="shared" si="0"/>
        <v>3.9737291970577394E-6</v>
      </c>
      <c r="P13">
        <f t="shared" si="0"/>
        <v>3.4085647549750528E-6</v>
      </c>
      <c r="Q13">
        <f t="shared" si="0"/>
        <v>5.5508204613628374E-6</v>
      </c>
      <c r="R13">
        <f t="shared" si="0"/>
        <v>3.0397148171416321E-6</v>
      </c>
      <c r="S13">
        <f t="shared" si="0"/>
        <v>3.2873644458826822E-6</v>
      </c>
      <c r="T13">
        <f t="shared" si="0"/>
        <v>3.7855601985837959E-6</v>
      </c>
      <c r="U13">
        <f t="shared" si="0"/>
        <v>5.3741164633481407E-6</v>
      </c>
      <c r="X13" s="4">
        <v>8.8305999999999998E-6</v>
      </c>
    </row>
    <row r="14" spans="1:24" x14ac:dyDescent="0.2">
      <c r="A14">
        <v>13</v>
      </c>
      <c r="B14">
        <v>16.846238993710696</v>
      </c>
      <c r="C14">
        <v>21.671279835390948</v>
      </c>
      <c r="D14">
        <v>18.802597222222218</v>
      </c>
      <c r="E14">
        <v>17.92711111111111</v>
      </c>
      <c r="F14">
        <v>30.400410118130452</v>
      </c>
      <c r="G14">
        <v>17.118466666666666</v>
      </c>
      <c r="H14">
        <v>13.929487487487494</v>
      </c>
      <c r="I14">
        <v>22.381124999999997</v>
      </c>
      <c r="J14">
        <v>23.978940058479541</v>
      </c>
      <c r="L14" t="s">
        <v>29</v>
      </c>
      <c r="M14">
        <f>(M9*0.000001)/2</f>
        <v>9.4057424405693868E-6</v>
      </c>
      <c r="N14">
        <f t="shared" ref="N14:U14" si="1">(N9*0.000001)/2</f>
        <v>1.1855467471975715E-5</v>
      </c>
      <c r="O14">
        <f t="shared" si="1"/>
        <v>1.1392050223224078E-5</v>
      </c>
      <c r="P14">
        <f t="shared" si="1"/>
        <v>9.540610062163369E-6</v>
      </c>
      <c r="Q14">
        <f t="shared" si="1"/>
        <v>1.5379800820041051E-5</v>
      </c>
      <c r="R14">
        <f t="shared" si="1"/>
        <v>1.0296078113928704E-5</v>
      </c>
      <c r="S14">
        <f t="shared" si="1"/>
        <v>7.6126638685896075E-6</v>
      </c>
      <c r="T14">
        <f t="shared" si="1"/>
        <v>1.2865905899897505E-5</v>
      </c>
      <c r="U14">
        <f t="shared" si="1"/>
        <v>1.4451200535072439E-5</v>
      </c>
      <c r="X14" s="4">
        <v>3.4257000000000001E-6</v>
      </c>
    </row>
    <row r="15" spans="1:24" x14ac:dyDescent="0.2">
      <c r="A15">
        <v>14</v>
      </c>
      <c r="B15">
        <v>18.921154862820163</v>
      </c>
      <c r="C15">
        <v>20.751379148629145</v>
      </c>
      <c r="D15">
        <v>20.201102726545709</v>
      </c>
      <c r="E15">
        <v>18.760555555555555</v>
      </c>
      <c r="F15">
        <v>31.540505906522867</v>
      </c>
      <c r="G15">
        <v>17.118466666666666</v>
      </c>
      <c r="H15">
        <v>15.092816736904977</v>
      </c>
      <c r="I15">
        <v>24.179000000000002</v>
      </c>
      <c r="J15">
        <v>27.181697368421052</v>
      </c>
      <c r="X15" s="4">
        <v>1.5031999999999999E-5</v>
      </c>
    </row>
    <row r="16" spans="1:24" x14ac:dyDescent="0.2">
      <c r="A16">
        <v>15</v>
      </c>
      <c r="B16">
        <v>20.796849876948318</v>
      </c>
      <c r="C16">
        <v>21.724325316658661</v>
      </c>
      <c r="D16">
        <v>21.627689946018894</v>
      </c>
      <c r="E16">
        <v>18.760555555555555</v>
      </c>
      <c r="F16">
        <v>29.476472350624917</v>
      </c>
      <c r="G16">
        <v>19.179752380952383</v>
      </c>
      <c r="H16">
        <v>15.642395874866461</v>
      </c>
      <c r="I16">
        <v>24.669019841269844</v>
      </c>
      <c r="J16">
        <v>26.642340643274839</v>
      </c>
      <c r="M16" t="s">
        <v>71</v>
      </c>
      <c r="X16" s="4">
        <v>1.1422000000000001E-6</v>
      </c>
    </row>
    <row r="17" spans="1:24" x14ac:dyDescent="0.2">
      <c r="A17">
        <v>16</v>
      </c>
      <c r="B17">
        <v>21.674307902652444</v>
      </c>
      <c r="C17">
        <v>22.506308214419334</v>
      </c>
      <c r="D17">
        <v>21.481863235367623</v>
      </c>
      <c r="E17">
        <v>19.249055555555554</v>
      </c>
      <c r="F17">
        <v>33.996913542201675</v>
      </c>
      <c r="G17">
        <v>20.00426666666667</v>
      </c>
      <c r="H17">
        <v>15.97852286740523</v>
      </c>
      <c r="I17">
        <v>26.451333333333338</v>
      </c>
      <c r="J17">
        <v>28.138625730994146</v>
      </c>
      <c r="L17" t="s">
        <v>35</v>
      </c>
      <c r="M17">
        <v>3.9447078898953992E-6</v>
      </c>
      <c r="X17" s="4">
        <v>9.5936000000000008E-6</v>
      </c>
    </row>
    <row r="18" spans="1:24" x14ac:dyDescent="0.2">
      <c r="A18">
        <v>17</v>
      </c>
      <c r="B18">
        <v>21.902550906936469</v>
      </c>
      <c r="C18">
        <v>24.023316137566137</v>
      </c>
      <c r="D18">
        <v>22.304419515669508</v>
      </c>
      <c r="E18">
        <v>19.869055555555551</v>
      </c>
      <c r="F18">
        <v>31.538765622324945</v>
      </c>
      <c r="G18">
        <v>20.00426666666667</v>
      </c>
      <c r="H18">
        <v>15.648944911297841</v>
      </c>
      <c r="I18">
        <v>27.216853174603184</v>
      </c>
      <c r="J18">
        <v>30.773994152046797</v>
      </c>
      <c r="L18" t="s">
        <v>34</v>
      </c>
      <c r="M18">
        <v>9.5150918379784379E-6</v>
      </c>
      <c r="X18" s="4">
        <v>2.1299000000000001E-6</v>
      </c>
    </row>
    <row r="19" spans="1:24" x14ac:dyDescent="0.2">
      <c r="A19">
        <v>18</v>
      </c>
      <c r="B19">
        <v>21.304055783429046</v>
      </c>
      <c r="C19">
        <v>25.591051867885199</v>
      </c>
      <c r="D19">
        <v>23.601651034637872</v>
      </c>
      <c r="E19">
        <v>20.130055555555554</v>
      </c>
      <c r="F19">
        <v>32.37755658277694</v>
      </c>
      <c r="G19">
        <v>20.467580952380953</v>
      </c>
      <c r="H19">
        <v>14.355229346994053</v>
      </c>
      <c r="I19">
        <v>27.662297619047621</v>
      </c>
      <c r="J19">
        <v>28.35614181286552</v>
      </c>
      <c r="L19" t="s">
        <v>36</v>
      </c>
      <c r="M19">
        <v>2.8638652662134877E-6</v>
      </c>
      <c r="X19" s="4">
        <v>7.3359999999999997E-6</v>
      </c>
    </row>
    <row r="20" spans="1:24" x14ac:dyDescent="0.2">
      <c r="A20">
        <v>19</v>
      </c>
      <c r="B20">
        <v>21.17182955063349</v>
      </c>
      <c r="C20">
        <v>25.423909184436969</v>
      </c>
      <c r="D20">
        <v>25.337316095616526</v>
      </c>
      <c r="E20">
        <v>20.433909722222221</v>
      </c>
      <c r="F20">
        <v>33.758664098613231</v>
      </c>
      <c r="G20">
        <v>23.247466666666664</v>
      </c>
      <c r="H20">
        <v>14.236091114223475</v>
      </c>
      <c r="I20">
        <v>27.200368055555554</v>
      </c>
      <c r="J20">
        <v>31.089961988304086</v>
      </c>
      <c r="L20" t="s">
        <v>37</v>
      </c>
      <c r="M20">
        <v>1.1855467471975715E-5</v>
      </c>
      <c r="X20" s="4">
        <v>1.7689999999999999E-6</v>
      </c>
    </row>
    <row r="21" spans="1:24" x14ac:dyDescent="0.2">
      <c r="A21">
        <v>20</v>
      </c>
      <c r="B21">
        <v>19.71355974842767</v>
      </c>
      <c r="C21">
        <v>25.446501924001925</v>
      </c>
      <c r="D21">
        <v>26.273916379267263</v>
      </c>
      <c r="E21">
        <v>20.562472222222222</v>
      </c>
      <c r="F21">
        <v>32.769612737544954</v>
      </c>
      <c r="G21">
        <v>23.247466666666664</v>
      </c>
      <c r="H21">
        <v>16.483166708725538</v>
      </c>
      <c r="I21">
        <v>28.275690476190466</v>
      </c>
      <c r="J21">
        <v>30.016071637426894</v>
      </c>
      <c r="L21" s="1" t="s">
        <v>40</v>
      </c>
      <c r="M21">
        <v>3.9737291970577394E-6</v>
      </c>
      <c r="X21" s="4">
        <v>1.2364000000000001E-5</v>
      </c>
    </row>
    <row r="22" spans="1:24" x14ac:dyDescent="0.2">
      <c r="A22">
        <v>21</v>
      </c>
      <c r="B22">
        <v>18.962024245738768</v>
      </c>
      <c r="C22">
        <v>24.519357850996727</v>
      </c>
      <c r="D22">
        <v>24.728363603988601</v>
      </c>
      <c r="E22">
        <v>19.876805555555556</v>
      </c>
      <c r="F22">
        <v>33.955769388803269</v>
      </c>
      <c r="G22">
        <v>23.247466666666664</v>
      </c>
      <c r="H22">
        <v>15.705409291644587</v>
      </c>
      <c r="I22">
        <v>29.18323611111111</v>
      </c>
      <c r="J22">
        <v>30.504713450292371</v>
      </c>
      <c r="L22" s="1" t="s">
        <v>41</v>
      </c>
      <c r="M22">
        <v>1.1392050223224078E-5</v>
      </c>
      <c r="X22" s="4">
        <v>2.3398E-6</v>
      </c>
    </row>
    <row r="23" spans="1:24" x14ac:dyDescent="0.2">
      <c r="A23">
        <v>22</v>
      </c>
      <c r="B23">
        <v>20.521372709871478</v>
      </c>
      <c r="C23">
        <v>25.525185719630155</v>
      </c>
      <c r="D23">
        <v>24.583965924426451</v>
      </c>
      <c r="E23">
        <v>19.731097222222225</v>
      </c>
      <c r="F23">
        <v>32.634015065913381</v>
      </c>
      <c r="G23">
        <v>22.373752380952382</v>
      </c>
      <c r="H23">
        <v>15.53053174392879</v>
      </c>
      <c r="I23">
        <v>29.328257936507942</v>
      </c>
      <c r="J23">
        <v>29.85340058479532</v>
      </c>
      <c r="L23" s="1" t="s">
        <v>38</v>
      </c>
      <c r="M23">
        <v>3.4085647549750528E-6</v>
      </c>
      <c r="X23" s="4">
        <v>1.3267E-5</v>
      </c>
    </row>
    <row r="24" spans="1:24" x14ac:dyDescent="0.2">
      <c r="A24">
        <v>23</v>
      </c>
      <c r="B24">
        <v>21.051588733934913</v>
      </c>
      <c r="C24">
        <v>27.667286876703546</v>
      </c>
      <c r="D24">
        <v>25.051733955615543</v>
      </c>
      <c r="E24">
        <v>19.273055555555558</v>
      </c>
      <c r="F24">
        <v>36.444758431775384</v>
      </c>
      <c r="G24">
        <v>21.718466666666671</v>
      </c>
      <c r="H24">
        <v>16.891995733128095</v>
      </c>
      <c r="I24">
        <v>28.884233796296297</v>
      </c>
      <c r="J24">
        <v>30.935163742690047</v>
      </c>
      <c r="L24" s="1" t="s">
        <v>39</v>
      </c>
      <c r="M24">
        <v>9.540610062163369E-6</v>
      </c>
    </row>
    <row r="25" spans="1:24" x14ac:dyDescent="0.2">
      <c r="A25">
        <v>24</v>
      </c>
      <c r="B25">
        <v>19.200244918421294</v>
      </c>
      <c r="C25">
        <v>27.858768932713378</v>
      </c>
      <c r="D25">
        <v>26.742986929574641</v>
      </c>
      <c r="E25">
        <v>19.834972222222223</v>
      </c>
      <c r="F25">
        <v>34.107936141071718</v>
      </c>
      <c r="G25">
        <v>21.718466666666671</v>
      </c>
      <c r="H25">
        <v>17.467772137683895</v>
      </c>
      <c r="I25">
        <v>27.059732142857147</v>
      </c>
      <c r="J25">
        <v>31.703761695906433</v>
      </c>
      <c r="L25" s="1" t="s">
        <v>42</v>
      </c>
      <c r="M25">
        <v>5.5508204613628374E-6</v>
      </c>
    </row>
    <row r="26" spans="1:24" x14ac:dyDescent="0.2">
      <c r="A26">
        <v>25</v>
      </c>
      <c r="B26">
        <v>18.730188679245284</v>
      </c>
      <c r="C26">
        <v>29.200305702527931</v>
      </c>
      <c r="D26">
        <v>29.20416559829059</v>
      </c>
      <c r="E26">
        <v>19.834972222222223</v>
      </c>
      <c r="F26">
        <v>31.960072761513427</v>
      </c>
      <c r="G26">
        <v>21.718466666666671</v>
      </c>
      <c r="H26">
        <v>17.708123297667413</v>
      </c>
      <c r="I26">
        <v>26.494055555555562</v>
      </c>
      <c r="J26">
        <v>28.809907894736863</v>
      </c>
      <c r="L26" s="1" t="s">
        <v>43</v>
      </c>
      <c r="M26">
        <v>1.5379800820041051E-5</v>
      </c>
    </row>
    <row r="27" spans="1:24" x14ac:dyDescent="0.2">
      <c r="A27" t="s">
        <v>31</v>
      </c>
      <c r="L27" t="s">
        <v>44</v>
      </c>
      <c r="M27">
        <v>3.0397148171416321E-6</v>
      </c>
    </row>
    <row r="28" spans="1:24" x14ac:dyDescent="0.2">
      <c r="A28">
        <v>1</v>
      </c>
      <c r="B28">
        <f t="shared" ref="B28:J28" si="2">B2^4</f>
        <v>221.61057713100351</v>
      </c>
      <c r="C28">
        <f t="shared" si="2"/>
        <v>6.759141494236558</v>
      </c>
      <c r="D28">
        <f t="shared" si="2"/>
        <v>40.904570165123715</v>
      </c>
      <c r="E28">
        <f t="shared" si="2"/>
        <v>9.8471407746081443</v>
      </c>
      <c r="F28">
        <f t="shared" si="2"/>
        <v>36.772349750789431</v>
      </c>
      <c r="G28">
        <f t="shared" si="2"/>
        <v>10.544333817615996</v>
      </c>
      <c r="H28">
        <f t="shared" si="2"/>
        <v>27.064292707321219</v>
      </c>
      <c r="I28">
        <f t="shared" si="2"/>
        <v>2.9758435279703241</v>
      </c>
      <c r="J28">
        <f t="shared" si="2"/>
        <v>31.682896921914086</v>
      </c>
      <c r="L28" t="s">
        <v>45</v>
      </c>
      <c r="M28">
        <v>1.0296078113928704E-5</v>
      </c>
    </row>
    <row r="29" spans="1:24" x14ac:dyDescent="0.2">
      <c r="A29">
        <v>2</v>
      </c>
      <c r="B29">
        <f t="shared" ref="B29:J29" si="3">B3^4</f>
        <v>524.40406825441164</v>
      </c>
      <c r="C29">
        <f t="shared" si="3"/>
        <v>17.04037839700835</v>
      </c>
      <c r="D29">
        <f t="shared" si="3"/>
        <v>301.81166545832872</v>
      </c>
      <c r="E29">
        <f t="shared" si="3"/>
        <v>9.8471407746081443</v>
      </c>
      <c r="F29">
        <f t="shared" si="3"/>
        <v>979.52776551651903</v>
      </c>
      <c r="G29">
        <f t="shared" si="3"/>
        <v>10.544333817615996</v>
      </c>
      <c r="H29">
        <f t="shared" si="3"/>
        <v>149.4687329568942</v>
      </c>
      <c r="I29">
        <f t="shared" si="3"/>
        <v>5.6157088763324658</v>
      </c>
      <c r="J29">
        <f t="shared" si="3"/>
        <v>172.64278559525272</v>
      </c>
      <c r="L29" t="s">
        <v>46</v>
      </c>
      <c r="M29">
        <v>3.2873644458826822E-6</v>
      </c>
    </row>
    <row r="30" spans="1:24" x14ac:dyDescent="0.2">
      <c r="A30">
        <v>3</v>
      </c>
      <c r="B30">
        <f t="shared" ref="B30:J30" si="4">B4^4</f>
        <v>1426.9437678992911</v>
      </c>
      <c r="C30">
        <f t="shared" si="4"/>
        <v>70.813306402654689</v>
      </c>
      <c r="D30">
        <f t="shared" si="4"/>
        <v>859.64937339422124</v>
      </c>
      <c r="E30">
        <f t="shared" si="4"/>
        <v>9.8468319549077563</v>
      </c>
      <c r="F30">
        <f t="shared" si="4"/>
        <v>5594.2404979835419</v>
      </c>
      <c r="G30">
        <f t="shared" si="4"/>
        <v>10.544333817615996</v>
      </c>
      <c r="H30">
        <f t="shared" si="4"/>
        <v>285.9830871941258</v>
      </c>
      <c r="I30">
        <f t="shared" si="4"/>
        <v>28.860429711780153</v>
      </c>
      <c r="J30">
        <f t="shared" si="4"/>
        <v>117.67769689100435</v>
      </c>
      <c r="L30" t="s">
        <v>47</v>
      </c>
      <c r="M30">
        <v>7.6126638685896075E-6</v>
      </c>
    </row>
    <row r="31" spans="1:24" x14ac:dyDescent="0.2">
      <c r="A31">
        <v>4</v>
      </c>
      <c r="B31">
        <f t="shared" ref="B31:J31" si="5">B5^4</f>
        <v>3005.3959506381416</v>
      </c>
      <c r="C31">
        <f t="shared" si="5"/>
        <v>299.98537110506771</v>
      </c>
      <c r="D31">
        <f t="shared" si="5"/>
        <v>2210.0061420725615</v>
      </c>
      <c r="E31">
        <f t="shared" si="5"/>
        <v>23.529145526085319</v>
      </c>
      <c r="F31">
        <f t="shared" si="5"/>
        <v>27964.716207368227</v>
      </c>
      <c r="G31">
        <f t="shared" si="5"/>
        <v>27.881690412594118</v>
      </c>
      <c r="H31">
        <f t="shared" si="5"/>
        <v>527.74597830187463</v>
      </c>
      <c r="I31">
        <f t="shared" si="5"/>
        <v>117.56582380010933</v>
      </c>
      <c r="J31">
        <f t="shared" si="5"/>
        <v>765.81784184046444</v>
      </c>
      <c r="L31" s="1" t="s">
        <v>48</v>
      </c>
      <c r="M31">
        <v>3.7855601985837959E-6</v>
      </c>
    </row>
    <row r="32" spans="1:24" x14ac:dyDescent="0.2">
      <c r="A32">
        <v>5</v>
      </c>
      <c r="B32">
        <f t="shared" ref="B32:J32" si="6">B6^4</f>
        <v>5430.1738131489956</v>
      </c>
      <c r="C32">
        <f t="shared" si="6"/>
        <v>1000.5064517340292</v>
      </c>
      <c r="D32">
        <f t="shared" si="6"/>
        <v>3513.5985897875803</v>
      </c>
      <c r="E32">
        <f t="shared" si="6"/>
        <v>26.272759484415985</v>
      </c>
      <c r="F32">
        <f t="shared" si="6"/>
        <v>41373.157168885264</v>
      </c>
      <c r="G32">
        <f t="shared" si="6"/>
        <v>76.670586158614256</v>
      </c>
      <c r="H32">
        <f t="shared" si="6"/>
        <v>656.24139143467869</v>
      </c>
      <c r="I32">
        <f t="shared" si="6"/>
        <v>628.40275861142641</v>
      </c>
      <c r="J32">
        <f t="shared" si="6"/>
        <v>1309.9316000450706</v>
      </c>
      <c r="L32" s="1" t="s">
        <v>49</v>
      </c>
      <c r="M32">
        <v>1.2865905899897505E-5</v>
      </c>
    </row>
    <row r="33" spans="1:13" x14ac:dyDescent="0.2">
      <c r="A33">
        <v>6</v>
      </c>
      <c r="B33">
        <f t="shared" ref="B33:J33" si="7">B7^4</f>
        <v>12636.529492749323</v>
      </c>
      <c r="C33">
        <f t="shared" si="7"/>
        <v>1882.3614481499424</v>
      </c>
      <c r="D33">
        <f t="shared" si="7"/>
        <v>7200.9384549991873</v>
      </c>
      <c r="E33">
        <f t="shared" si="7"/>
        <v>59.907409187651993</v>
      </c>
      <c r="F33">
        <f t="shared" si="7"/>
        <v>70306.926261268381</v>
      </c>
      <c r="G33">
        <f t="shared" si="7"/>
        <v>76.670586158614256</v>
      </c>
      <c r="H33">
        <f t="shared" si="7"/>
        <v>791.167543215715</v>
      </c>
      <c r="I33">
        <f t="shared" si="7"/>
        <v>2757.3311552017267</v>
      </c>
      <c r="J33">
        <f t="shared" si="7"/>
        <v>2697.3067479111087</v>
      </c>
      <c r="L33" s="1" t="s">
        <v>50</v>
      </c>
      <c r="M33">
        <v>5.3741164633481407E-6</v>
      </c>
    </row>
    <row r="34" spans="1:13" x14ac:dyDescent="0.2">
      <c r="A34">
        <v>7</v>
      </c>
      <c r="B34">
        <f t="shared" ref="B34:J34" si="8">B8^4</f>
        <v>15281.833597415263</v>
      </c>
      <c r="C34">
        <f t="shared" si="8"/>
        <v>4256.5813620249373</v>
      </c>
      <c r="D34">
        <f t="shared" si="8"/>
        <v>13799.242852384086</v>
      </c>
      <c r="E34">
        <f t="shared" si="8"/>
        <v>1567.3720989018473</v>
      </c>
      <c r="F34">
        <f t="shared" si="8"/>
        <v>133070.92895829468</v>
      </c>
      <c r="G34">
        <f t="shared" si="8"/>
        <v>76.670586158614256</v>
      </c>
      <c r="H34">
        <f t="shared" si="8"/>
        <v>2971.7658960668132</v>
      </c>
      <c r="I34">
        <f t="shared" si="8"/>
        <v>6803.6910829544686</v>
      </c>
      <c r="J34">
        <f t="shared" si="8"/>
        <v>3581.2311823698924</v>
      </c>
      <c r="L34" s="1" t="s">
        <v>51</v>
      </c>
      <c r="M34">
        <v>1.4451200535072439E-5</v>
      </c>
    </row>
    <row r="35" spans="1:13" x14ac:dyDescent="0.2">
      <c r="A35">
        <v>8</v>
      </c>
      <c r="B35">
        <f t="shared" ref="B35:J35" si="9">B9^4</f>
        <v>29765.405929687553</v>
      </c>
      <c r="C35">
        <f t="shared" si="9"/>
        <v>13014.361088219899</v>
      </c>
      <c r="D35">
        <f t="shared" si="9"/>
        <v>23689.438109356575</v>
      </c>
      <c r="E35">
        <f t="shared" si="9"/>
        <v>6282.7272109558126</v>
      </c>
      <c r="F35">
        <f t="shared" si="9"/>
        <v>247717.72052500444</v>
      </c>
      <c r="G35">
        <f t="shared" si="9"/>
        <v>3385.2199124589511</v>
      </c>
      <c r="H35">
        <f t="shared" si="9"/>
        <v>9539.1928082195464</v>
      </c>
      <c r="I35">
        <f t="shared" si="9"/>
        <v>15941.925999531777</v>
      </c>
      <c r="J35">
        <f t="shared" si="9"/>
        <v>5000.5060221871945</v>
      </c>
    </row>
    <row r="36" spans="1:13" x14ac:dyDescent="0.2">
      <c r="A36">
        <v>9</v>
      </c>
      <c r="B36">
        <f t="shared" ref="B36:J36" si="10">B10^4</f>
        <v>50371.130978820671</v>
      </c>
      <c r="C36">
        <f t="shared" si="10"/>
        <v>29897.884004762112</v>
      </c>
      <c r="D36">
        <f t="shared" si="10"/>
        <v>40168.957942437504</v>
      </c>
      <c r="E36">
        <f t="shared" si="10"/>
        <v>11448.520930510082</v>
      </c>
      <c r="F36">
        <f t="shared" si="10"/>
        <v>459518.51454300422</v>
      </c>
      <c r="G36">
        <f t="shared" si="10"/>
        <v>4992.6369650960205</v>
      </c>
      <c r="H36">
        <f t="shared" si="10"/>
        <v>12043.793144246514</v>
      </c>
      <c r="I36">
        <f t="shared" si="10"/>
        <v>39218.781085457056</v>
      </c>
      <c r="J36">
        <f t="shared" si="10"/>
        <v>17330.050923204373</v>
      </c>
    </row>
    <row r="37" spans="1:13" x14ac:dyDescent="0.2">
      <c r="A37">
        <v>10</v>
      </c>
      <c r="B37">
        <f t="shared" ref="B37:J37" si="11">B11^4</f>
        <v>57395.305487907332</v>
      </c>
      <c r="C37">
        <f t="shared" si="11"/>
        <v>77628.221502121683</v>
      </c>
      <c r="D37">
        <f t="shared" si="11"/>
        <v>64118.235664473767</v>
      </c>
      <c r="E37">
        <f t="shared" si="11"/>
        <v>33565.299621404854</v>
      </c>
      <c r="F37">
        <f t="shared" si="11"/>
        <v>624048.48953756958</v>
      </c>
      <c r="G37">
        <f t="shared" si="11"/>
        <v>4992.6369650960205</v>
      </c>
      <c r="H37">
        <f t="shared" si="11"/>
        <v>21966.262664146696</v>
      </c>
      <c r="I37">
        <f t="shared" si="11"/>
        <v>100477.85205319709</v>
      </c>
      <c r="J37">
        <f t="shared" si="11"/>
        <v>39971.875871718803</v>
      </c>
    </row>
    <row r="38" spans="1:13" x14ac:dyDescent="0.2">
      <c r="A38">
        <v>11</v>
      </c>
      <c r="B38">
        <f t="shared" ref="B38:J38" si="12">B12^4</f>
        <v>83659.687419972935</v>
      </c>
      <c r="C38">
        <f t="shared" si="12"/>
        <v>192846.5798547696</v>
      </c>
      <c r="D38">
        <f t="shared" si="12"/>
        <v>90458.756761742901</v>
      </c>
      <c r="E38">
        <f t="shared" si="12"/>
        <v>85377.006443965496</v>
      </c>
      <c r="F38">
        <f t="shared" si="12"/>
        <v>601917.69246934832</v>
      </c>
      <c r="G38">
        <f t="shared" si="12"/>
        <v>14090.869424349496</v>
      </c>
      <c r="H38">
        <f t="shared" si="12"/>
        <v>22426.15321169671</v>
      </c>
      <c r="I38">
        <f t="shared" si="12"/>
        <v>148963.11698325331</v>
      </c>
      <c r="J38">
        <f t="shared" si="12"/>
        <v>75826.315609222962</v>
      </c>
    </row>
    <row r="39" spans="1:13" x14ac:dyDescent="0.2">
      <c r="A39">
        <v>12</v>
      </c>
      <c r="B39">
        <f t="shared" ref="B39:J39" si="13">B13^4</f>
        <v>88848.801529643664</v>
      </c>
      <c r="C39">
        <f t="shared" si="13"/>
        <v>190391.64320535131</v>
      </c>
      <c r="D39">
        <f t="shared" si="13"/>
        <v>90521.590820318437</v>
      </c>
      <c r="E39">
        <f t="shared" si="13"/>
        <v>85377.006443965496</v>
      </c>
      <c r="F39">
        <f t="shared" si="13"/>
        <v>668218.40395477903</v>
      </c>
      <c r="G39">
        <f t="shared" si="13"/>
        <v>85873.555752113069</v>
      </c>
      <c r="H39">
        <f t="shared" si="13"/>
        <v>33290.105479398982</v>
      </c>
      <c r="I39">
        <f t="shared" si="13"/>
        <v>200759.44855874902</v>
      </c>
      <c r="J39">
        <f t="shared" si="13"/>
        <v>197405.79289340138</v>
      </c>
    </row>
    <row r="40" spans="1:13" x14ac:dyDescent="0.2">
      <c r="A40">
        <v>13</v>
      </c>
      <c r="B40">
        <f t="shared" ref="B40:J40" si="14">B14^4</f>
        <v>80540.038067082802</v>
      </c>
      <c r="C40">
        <f t="shared" si="14"/>
        <v>220565.83399450051</v>
      </c>
      <c r="D40">
        <f t="shared" si="14"/>
        <v>124988.87866533981</v>
      </c>
      <c r="E40">
        <f t="shared" si="14"/>
        <v>103285.94821070312</v>
      </c>
      <c r="F40">
        <f t="shared" si="14"/>
        <v>854117.79472886026</v>
      </c>
      <c r="G40">
        <f t="shared" si="14"/>
        <v>85873.555752113069</v>
      </c>
      <c r="H40">
        <f t="shared" si="14"/>
        <v>37647.88214334572</v>
      </c>
      <c r="I40">
        <f t="shared" si="14"/>
        <v>250915.59304465036</v>
      </c>
      <c r="J40">
        <f t="shared" si="14"/>
        <v>330613.0013862396</v>
      </c>
    </row>
    <row r="41" spans="1:13" x14ac:dyDescent="0.2">
      <c r="A41">
        <v>14</v>
      </c>
      <c r="B41">
        <f t="shared" ref="B41:J41" si="15">B15^4</f>
        <v>128171.23266349849</v>
      </c>
      <c r="C41">
        <f t="shared" si="15"/>
        <v>185433.35752375438</v>
      </c>
      <c r="D41">
        <f t="shared" si="15"/>
        <v>166533.00106559112</v>
      </c>
      <c r="E41">
        <f t="shared" si="15"/>
        <v>123874.74683301141</v>
      </c>
      <c r="F41">
        <f t="shared" si="15"/>
        <v>989634.02915761794</v>
      </c>
      <c r="G41">
        <f t="shared" si="15"/>
        <v>85873.555752113069</v>
      </c>
      <c r="H41">
        <f t="shared" si="15"/>
        <v>51889.704177085769</v>
      </c>
      <c r="I41">
        <f t="shared" si="15"/>
        <v>341785.26931516983</v>
      </c>
      <c r="J41">
        <f t="shared" si="15"/>
        <v>545891.4490892574</v>
      </c>
    </row>
    <row r="42" spans="1:13" x14ac:dyDescent="0.2">
      <c r="A42">
        <v>15</v>
      </c>
      <c r="B42">
        <f t="shared" ref="B42:J42" si="16">B16^4</f>
        <v>187064.00463610908</v>
      </c>
      <c r="C42">
        <f t="shared" si="16"/>
        <v>222733.31996059776</v>
      </c>
      <c r="D42">
        <f t="shared" si="16"/>
        <v>218796.58522986845</v>
      </c>
      <c r="E42">
        <f t="shared" si="16"/>
        <v>123874.74683301141</v>
      </c>
      <c r="F42">
        <f t="shared" si="16"/>
        <v>754921.90877581656</v>
      </c>
      <c r="G42">
        <f t="shared" si="16"/>
        <v>135323.11422248895</v>
      </c>
      <c r="H42">
        <f t="shared" si="16"/>
        <v>59870.528375478105</v>
      </c>
      <c r="I42">
        <f t="shared" si="16"/>
        <v>370345.93075863371</v>
      </c>
      <c r="J42">
        <f t="shared" si="16"/>
        <v>503836.36171119491</v>
      </c>
    </row>
    <row r="43" spans="1:13" x14ac:dyDescent="0.2">
      <c r="A43">
        <v>16</v>
      </c>
      <c r="B43">
        <f t="shared" ref="B43:J43" si="17">B17^4</f>
        <v>220689.13602045493</v>
      </c>
      <c r="C43">
        <f t="shared" si="17"/>
        <v>256576.60141504119</v>
      </c>
      <c r="D43">
        <f t="shared" si="17"/>
        <v>212954.97443550208</v>
      </c>
      <c r="E43">
        <f t="shared" si="17"/>
        <v>137289.62026090847</v>
      </c>
      <c r="F43">
        <f t="shared" si="17"/>
        <v>1335850.825520654</v>
      </c>
      <c r="G43">
        <f t="shared" si="17"/>
        <v>160136.57703021422</v>
      </c>
      <c r="H43">
        <f t="shared" si="17"/>
        <v>65184.826532208252</v>
      </c>
      <c r="I43">
        <f t="shared" si="17"/>
        <v>489542.3560615945</v>
      </c>
      <c r="J43">
        <f t="shared" si="17"/>
        <v>626919.14412944787</v>
      </c>
    </row>
    <row r="44" spans="1:13" x14ac:dyDescent="0.2">
      <c r="A44">
        <v>17</v>
      </c>
      <c r="B44">
        <f t="shared" ref="B44:J44" si="18">B18^4</f>
        <v>230132.94421243094</v>
      </c>
      <c r="C44">
        <f t="shared" si="18"/>
        <v>333067.16918770253</v>
      </c>
      <c r="D44">
        <f t="shared" si="18"/>
        <v>247493.44444696262</v>
      </c>
      <c r="E44">
        <f t="shared" si="18"/>
        <v>155850.74992728868</v>
      </c>
      <c r="F44">
        <f t="shared" si="18"/>
        <v>989415.63038712961</v>
      </c>
      <c r="G44">
        <f t="shared" si="18"/>
        <v>160136.57703021422</v>
      </c>
      <c r="H44">
        <f t="shared" si="18"/>
        <v>59970.855865418554</v>
      </c>
      <c r="I44">
        <f t="shared" si="18"/>
        <v>548721.07635275845</v>
      </c>
      <c r="J44">
        <f t="shared" si="18"/>
        <v>896882.32973591262</v>
      </c>
    </row>
    <row r="45" spans="1:13" x14ac:dyDescent="0.2">
      <c r="A45">
        <v>18</v>
      </c>
      <c r="B45">
        <f t="shared" ref="B45:J45" si="19">B19^4</f>
        <v>205991.43470950786</v>
      </c>
      <c r="C45">
        <f t="shared" si="19"/>
        <v>428896.54538988153</v>
      </c>
      <c r="D45">
        <f t="shared" si="19"/>
        <v>310291.25719756004</v>
      </c>
      <c r="E45">
        <f t="shared" si="19"/>
        <v>164202.54872337999</v>
      </c>
      <c r="F45">
        <f t="shared" si="19"/>
        <v>1098945.826628088</v>
      </c>
      <c r="G45">
        <f t="shared" si="19"/>
        <v>175495.53319971054</v>
      </c>
      <c r="H45">
        <f t="shared" si="19"/>
        <v>42465.920429332014</v>
      </c>
      <c r="I45">
        <f t="shared" si="19"/>
        <v>585535.1867252622</v>
      </c>
      <c r="J45">
        <f t="shared" si="19"/>
        <v>646529.8168558327</v>
      </c>
    </row>
    <row r="46" spans="1:13" x14ac:dyDescent="0.2">
      <c r="A46">
        <v>19</v>
      </c>
      <c r="B46">
        <f t="shared" ref="B46:J46" si="20">B20^4</f>
        <v>200924.8050993481</v>
      </c>
      <c r="C46">
        <f t="shared" si="20"/>
        <v>417800.84516198887</v>
      </c>
      <c r="D46">
        <f t="shared" si="20"/>
        <v>412137.79003377119</v>
      </c>
      <c r="E46">
        <f t="shared" si="20"/>
        <v>174343.54855259918</v>
      </c>
      <c r="F46">
        <f t="shared" si="20"/>
        <v>1298796.2002539798</v>
      </c>
      <c r="G46">
        <f t="shared" si="20"/>
        <v>292080.48069499788</v>
      </c>
      <c r="H46">
        <f t="shared" si="20"/>
        <v>41073.625188486156</v>
      </c>
      <c r="I46">
        <f t="shared" si="20"/>
        <v>547392.85268311715</v>
      </c>
      <c r="J46">
        <f t="shared" si="20"/>
        <v>934287.98587803124</v>
      </c>
    </row>
    <row r="47" spans="1:13" x14ac:dyDescent="0.2">
      <c r="A47">
        <v>20</v>
      </c>
      <c r="B47">
        <f t="shared" ref="B47:J47" si="21">B21^4</f>
        <v>151028.95377570565</v>
      </c>
      <c r="C47">
        <f t="shared" si="21"/>
        <v>419287.92651616241</v>
      </c>
      <c r="D47">
        <f t="shared" si="21"/>
        <v>476539.88258668187</v>
      </c>
      <c r="E47">
        <f t="shared" si="21"/>
        <v>178772.74737808327</v>
      </c>
      <c r="F47">
        <f t="shared" si="21"/>
        <v>1153148.493995165</v>
      </c>
      <c r="G47">
        <f t="shared" si="21"/>
        <v>292080.48069499788</v>
      </c>
      <c r="H47">
        <f t="shared" si="21"/>
        <v>73818.056059065275</v>
      </c>
      <c r="I47">
        <f t="shared" si="21"/>
        <v>639223.71059188456</v>
      </c>
      <c r="J47">
        <f t="shared" si="21"/>
        <v>811737.13214698271</v>
      </c>
    </row>
    <row r="48" spans="1:13" x14ac:dyDescent="0.2">
      <c r="A48">
        <v>21</v>
      </c>
      <c r="B48">
        <f t="shared" ref="B48:J48" si="22">B22^4</f>
        <v>129282.21675991076</v>
      </c>
      <c r="C48">
        <f t="shared" si="22"/>
        <v>361440.12869409163</v>
      </c>
      <c r="D48">
        <f t="shared" si="22"/>
        <v>373922.42513203289</v>
      </c>
      <c r="E48">
        <f t="shared" si="22"/>
        <v>156094.05292235926</v>
      </c>
      <c r="F48">
        <f t="shared" si="22"/>
        <v>1329395.7976883466</v>
      </c>
      <c r="G48">
        <f t="shared" si="22"/>
        <v>292080.48069499788</v>
      </c>
      <c r="H48">
        <f t="shared" si="22"/>
        <v>60841.096903851474</v>
      </c>
      <c r="I48">
        <f t="shared" si="22"/>
        <v>725326.91867639788</v>
      </c>
      <c r="J48">
        <f t="shared" si="22"/>
        <v>865900.11834521149</v>
      </c>
    </row>
    <row r="49" spans="1:10" x14ac:dyDescent="0.2">
      <c r="A49">
        <v>22</v>
      </c>
      <c r="B49">
        <f t="shared" ref="B49:J49" si="23">B23^4</f>
        <v>177347.72937215419</v>
      </c>
      <c r="C49">
        <f t="shared" si="23"/>
        <v>424497.99437859218</v>
      </c>
      <c r="D49">
        <f t="shared" si="23"/>
        <v>365264.76565615018</v>
      </c>
      <c r="E49">
        <f t="shared" si="23"/>
        <v>151567.10170810489</v>
      </c>
      <c r="F49">
        <f t="shared" si="23"/>
        <v>1134180.1411999692</v>
      </c>
      <c r="G49">
        <f t="shared" si="23"/>
        <v>250585.13759007104</v>
      </c>
      <c r="H49">
        <f t="shared" si="23"/>
        <v>58176.193605280125</v>
      </c>
      <c r="I49">
        <f t="shared" si="23"/>
        <v>739852.36890026415</v>
      </c>
      <c r="J49">
        <f t="shared" si="23"/>
        <v>794282.93904288241</v>
      </c>
    </row>
    <row r="50" spans="1:10" x14ac:dyDescent="0.2">
      <c r="A50">
        <v>23</v>
      </c>
      <c r="B50">
        <f t="shared" ref="B50:J50" si="24">B24^4</f>
        <v>196399.10665771356</v>
      </c>
      <c r="C50">
        <f t="shared" si="24"/>
        <v>585957.73678437574</v>
      </c>
      <c r="D50">
        <f t="shared" si="24"/>
        <v>393868.42258733528</v>
      </c>
      <c r="E50">
        <f t="shared" si="24"/>
        <v>137975.60057592025</v>
      </c>
      <c r="F50">
        <f t="shared" si="24"/>
        <v>1764169.4765353499</v>
      </c>
      <c r="G50">
        <f t="shared" si="24"/>
        <v>222493.14885817107</v>
      </c>
      <c r="H50">
        <f t="shared" si="24"/>
        <v>81418.641587097314</v>
      </c>
      <c r="I50">
        <f t="shared" si="24"/>
        <v>696054.75799278426</v>
      </c>
      <c r="J50">
        <f t="shared" si="24"/>
        <v>915819.05722114537</v>
      </c>
    </row>
    <row r="51" spans="1:10" x14ac:dyDescent="0.2">
      <c r="A51">
        <v>24</v>
      </c>
      <c r="B51">
        <f t="shared" ref="B51:J51" si="25">B25^4</f>
        <v>135902.38375329867</v>
      </c>
      <c r="C51">
        <f t="shared" si="25"/>
        <v>602348.29432711366</v>
      </c>
      <c r="D51">
        <f t="shared" si="25"/>
        <v>511492.94547901291</v>
      </c>
      <c r="E51">
        <f t="shared" si="25"/>
        <v>154784.11430313232</v>
      </c>
      <c r="F51">
        <f t="shared" si="25"/>
        <v>1353386.2653679424</v>
      </c>
      <c r="G51">
        <f t="shared" si="25"/>
        <v>222493.14885817107</v>
      </c>
      <c r="H51">
        <f t="shared" si="25"/>
        <v>93100.083851581658</v>
      </c>
      <c r="I51">
        <f t="shared" si="25"/>
        <v>536159.46022208931</v>
      </c>
      <c r="J51">
        <f t="shared" si="25"/>
        <v>1010283.3129120637</v>
      </c>
    </row>
    <row r="52" spans="1:10" x14ac:dyDescent="0.2">
      <c r="A52">
        <v>25</v>
      </c>
      <c r="B52">
        <f t="shared" ref="B52:J52" si="26">B26^4</f>
        <v>123074.64991954539</v>
      </c>
      <c r="C52">
        <f t="shared" si="26"/>
        <v>727025.41448905808</v>
      </c>
      <c r="D52">
        <f t="shared" si="26"/>
        <v>727409.90344842221</v>
      </c>
      <c r="E52">
        <f t="shared" si="26"/>
        <v>154784.11430313232</v>
      </c>
      <c r="F52">
        <f t="shared" si="26"/>
        <v>1043352.4435210414</v>
      </c>
      <c r="G52">
        <f t="shared" si="26"/>
        <v>222493.14885817107</v>
      </c>
      <c r="H52">
        <f t="shared" si="26"/>
        <v>98330.930491349951</v>
      </c>
      <c r="I52">
        <f t="shared" si="26"/>
        <v>492712.71583996271</v>
      </c>
      <c r="J52">
        <f t="shared" si="26"/>
        <v>688917.91633583431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C2AB5-B2F8-8140-ADB4-CD5A5AEB1260}">
  <dimension ref="A1:M55"/>
  <sheetViews>
    <sheetView topLeftCell="C1" zoomScale="78" workbookViewId="0">
      <selection activeCell="I31" sqref="I31"/>
    </sheetView>
  </sheetViews>
  <sheetFormatPr baseColWidth="10" defaultRowHeight="16" x14ac:dyDescent="0.2"/>
  <cols>
    <col min="2" max="2" width="19.33203125" customWidth="1"/>
    <col min="3" max="3" width="29.5" customWidth="1"/>
    <col min="4" max="4" width="16.33203125" customWidth="1"/>
    <col min="5" max="6" width="25.33203125" customWidth="1"/>
    <col min="8" max="8" width="22" customWidth="1"/>
    <col min="9" max="9" width="19.33203125" customWidth="1"/>
    <col min="10" max="10" width="19.5" customWidth="1"/>
    <col min="11" max="11" width="16.6640625" customWidth="1"/>
    <col min="12" max="12" width="19.5" customWidth="1"/>
    <col min="13" max="13" width="26.5" customWidth="1"/>
  </cols>
  <sheetData>
    <row r="1" spans="1:13" x14ac:dyDescent="0.2">
      <c r="B1" t="s">
        <v>52</v>
      </c>
      <c r="C1" t="s">
        <v>55</v>
      </c>
      <c r="D1" t="s">
        <v>54</v>
      </c>
      <c r="E1" t="s">
        <v>53</v>
      </c>
      <c r="F1" t="s">
        <v>63</v>
      </c>
      <c r="G1" t="s">
        <v>57</v>
      </c>
      <c r="H1" t="s">
        <v>56</v>
      </c>
      <c r="I1" t="s">
        <v>58</v>
      </c>
      <c r="J1" t="s">
        <v>59</v>
      </c>
      <c r="K1" t="s">
        <v>61</v>
      </c>
      <c r="L1" t="s">
        <v>60</v>
      </c>
      <c r="M1" t="s">
        <v>62</v>
      </c>
    </row>
    <row r="2" spans="1:13" x14ac:dyDescent="0.2">
      <c r="A2" t="s">
        <v>35</v>
      </c>
      <c r="B2">
        <v>3.8762149389807287E-6</v>
      </c>
      <c r="C2" s="4">
        <v>1945044766.9033651</v>
      </c>
      <c r="D2">
        <v>1.6681856990561855E-3</v>
      </c>
      <c r="E2" s="9">
        <f t="shared" ref="E2:E19" si="0">(C2*((PI()*B2^4)/(8*0.000000001)))*998*0.4</f>
        <v>6.8835333956274808E-2</v>
      </c>
      <c r="F2" s="8">
        <f>0.9*E3+0.1*E2</f>
        <v>1.7067279115957694</v>
      </c>
      <c r="G2" s="4">
        <v>1.8</v>
      </c>
      <c r="H2" s="4">
        <f t="shared" ref="H2:H19" si="1">(E2*D2)/G2</f>
        <v>6.379451094200792E-5</v>
      </c>
      <c r="I2" s="7">
        <f>0.9*H3+0.1*H2</f>
        <v>1.5817439412800511E-3</v>
      </c>
      <c r="J2" s="6">
        <f>1/I2</f>
        <v>632.21358015174962</v>
      </c>
      <c r="K2">
        <v>0</v>
      </c>
      <c r="L2" s="4">
        <f>0.9*H3*(1-K3)+0.1*H2*(1-K2)</f>
        <v>6.379451094200792E-6</v>
      </c>
      <c r="M2" s="6">
        <f>1/L2</f>
        <v>156753.29824364436</v>
      </c>
    </row>
    <row r="3" spans="1:13" x14ac:dyDescent="0.2">
      <c r="A3" t="s">
        <v>34</v>
      </c>
      <c r="B3">
        <v>9.8131827780407909E-6</v>
      </c>
      <c r="C3" s="4">
        <v>1299202009.309938</v>
      </c>
      <c r="D3">
        <v>1.6681856990561855E-3</v>
      </c>
      <c r="E3" s="9">
        <f t="shared" si="0"/>
        <v>1.8887159757779355</v>
      </c>
      <c r="F3" s="6"/>
      <c r="G3" s="4">
        <v>1.8</v>
      </c>
      <c r="H3" s="4">
        <f t="shared" si="1"/>
        <v>1.7504049890953893E-3</v>
      </c>
      <c r="I3" s="7"/>
      <c r="J3" s="6"/>
      <c r="K3">
        <v>1</v>
      </c>
      <c r="M3" s="6"/>
    </row>
    <row r="4" spans="1:13" x14ac:dyDescent="0.2">
      <c r="A4" t="s">
        <v>36</v>
      </c>
      <c r="B4">
        <v>2.900490352177983E-6</v>
      </c>
      <c r="C4" s="4">
        <v>1907785001.1622787</v>
      </c>
      <c r="D4">
        <v>5.0153563219152587E-3</v>
      </c>
      <c r="E4" s="9">
        <f t="shared" si="0"/>
        <v>2.1167304107662349E-2</v>
      </c>
      <c r="F4" s="6">
        <f>0.9*E5+0.1*E4</f>
        <v>4.2223579632081218</v>
      </c>
      <c r="G4" s="4">
        <v>1.2</v>
      </c>
      <c r="H4" s="4">
        <f t="shared" si="1"/>
        <v>8.8467977061889327E-5</v>
      </c>
      <c r="I4" s="7">
        <f>0.9*H5+0.1*H4</f>
        <v>1.764719142013757E-2</v>
      </c>
      <c r="J4" s="6">
        <f t="shared" ref="J4:J18" si="2">1/I4</f>
        <v>56.666240887424138</v>
      </c>
      <c r="K4">
        <v>0</v>
      </c>
      <c r="L4" s="4">
        <f>0.9*H5*(1-K5)+0.1*H4*(1-K4)</f>
        <v>8.8467977061889338E-6</v>
      </c>
      <c r="M4" s="6">
        <f>1/L4</f>
        <v>113035.25108304809</v>
      </c>
    </row>
    <row r="5" spans="1:13" x14ac:dyDescent="0.2">
      <c r="A5" t="s">
        <v>37</v>
      </c>
      <c r="B5">
        <v>1.286235692743774E-5</v>
      </c>
      <c r="C5" s="4">
        <v>1092853935.7065306</v>
      </c>
      <c r="D5">
        <v>5.0153563219152587E-3</v>
      </c>
      <c r="E5" s="9">
        <f t="shared" si="0"/>
        <v>4.6891569253303942</v>
      </c>
      <c r="F5" s="6"/>
      <c r="G5" s="4">
        <v>1.2</v>
      </c>
      <c r="H5" s="4">
        <f t="shared" si="1"/>
        <v>1.9598160691590424E-2</v>
      </c>
      <c r="I5" s="7"/>
      <c r="J5" s="6"/>
      <c r="K5">
        <v>1</v>
      </c>
      <c r="M5" s="6"/>
    </row>
    <row r="6" spans="1:13" x14ac:dyDescent="0.2">
      <c r="A6" s="1" t="s">
        <v>40</v>
      </c>
      <c r="B6">
        <v>3.9904368236172839E-6</v>
      </c>
      <c r="C6" s="4">
        <v>1885175116.9630623</v>
      </c>
      <c r="D6">
        <v>4.0887828386471153E-3</v>
      </c>
      <c r="E6" s="9">
        <f t="shared" si="0"/>
        <v>7.4934855631045058E-2</v>
      </c>
      <c r="F6" s="6">
        <f>0.9*E7+0.1*E6</f>
        <v>2.4901597031219684</v>
      </c>
      <c r="G6" s="4">
        <v>1.2</v>
      </c>
      <c r="H6" s="4">
        <f t="shared" si="1"/>
        <v>2.553269597672635E-4</v>
      </c>
      <c r="I6" s="7">
        <f>0.9*H7+0.1*H6</f>
        <v>8.4847685496797498E-3</v>
      </c>
      <c r="J6" s="6">
        <f t="shared" si="2"/>
        <v>117.85825319156692</v>
      </c>
      <c r="K6">
        <v>0</v>
      </c>
      <c r="L6" s="4">
        <f>0.9*H7*(1-K7)+0.1*H6*(1-K6)</f>
        <v>2.553269597672635E-5</v>
      </c>
      <c r="M6" s="6">
        <f>1/L6</f>
        <v>39165.468500135023</v>
      </c>
    </row>
    <row r="7" spans="1:13" x14ac:dyDescent="0.2">
      <c r="A7" s="1" t="s">
        <v>41</v>
      </c>
      <c r="B7">
        <v>1.1821213654328181E-5</v>
      </c>
      <c r="C7" s="4">
        <v>901108611.14501977</v>
      </c>
      <c r="D7">
        <v>4.0887828386471153E-3</v>
      </c>
      <c r="E7" s="9">
        <f t="shared" si="0"/>
        <v>2.7585180195098484</v>
      </c>
      <c r="F7" s="6"/>
      <c r="G7" s="4">
        <v>1.2</v>
      </c>
      <c r="H7" s="4">
        <f t="shared" si="1"/>
        <v>9.3991509485589157E-3</v>
      </c>
      <c r="I7" s="7"/>
      <c r="J7" s="6"/>
      <c r="K7">
        <v>1</v>
      </c>
      <c r="M7" s="6"/>
    </row>
    <row r="8" spans="1:13" x14ac:dyDescent="0.2">
      <c r="A8" s="1" t="s">
        <v>38</v>
      </c>
      <c r="B8">
        <v>2.7515904768952704E-6</v>
      </c>
      <c r="C8" s="4">
        <v>1921749773.7200744</v>
      </c>
      <c r="D8">
        <v>2.0923007072908058E-3</v>
      </c>
      <c r="E8" s="9">
        <f t="shared" si="0"/>
        <v>1.7269606730089929E-2</v>
      </c>
      <c r="F8" s="6">
        <f>0.9*E9+0.1*E8</f>
        <v>1.5349455421829643</v>
      </c>
      <c r="G8" s="4">
        <v>1.8</v>
      </c>
      <c r="H8" s="4">
        <f t="shared" si="1"/>
        <v>2.0074005764445122E-5</v>
      </c>
      <c r="I8" s="7">
        <f>0.9*H9+0.1*H8</f>
        <v>1.784204246423492E-3</v>
      </c>
      <c r="J8" s="6">
        <f t="shared" si="2"/>
        <v>560.47394910338289</v>
      </c>
      <c r="K8">
        <v>0</v>
      </c>
      <c r="L8" s="4">
        <f>0.9*H9*(1-K9)+0.1*H8*(1-K8)</f>
        <v>2.0074005764445123E-6</v>
      </c>
      <c r="M8" s="6">
        <f>1/L8</f>
        <v>498156.6767163084</v>
      </c>
    </row>
    <row r="9" spans="1:13" x14ac:dyDescent="0.2">
      <c r="A9" s="1" t="s">
        <v>39</v>
      </c>
      <c r="B9">
        <v>1.0135496508485415E-5</v>
      </c>
      <c r="C9" s="4">
        <v>1029748179.181354</v>
      </c>
      <c r="D9">
        <v>2.0923007072908058E-3</v>
      </c>
      <c r="E9" s="9">
        <f t="shared" si="0"/>
        <v>1.7035762016777281</v>
      </c>
      <c r="F9" s="6"/>
      <c r="G9" s="4">
        <v>1.8</v>
      </c>
      <c r="H9" s="4">
        <f t="shared" si="1"/>
        <v>1.9802187176078305E-3</v>
      </c>
      <c r="I9" s="7"/>
      <c r="J9" s="6"/>
      <c r="K9">
        <v>1</v>
      </c>
      <c r="M9" s="6"/>
    </row>
    <row r="10" spans="1:13" x14ac:dyDescent="0.2">
      <c r="A10" s="1" t="s">
        <v>42</v>
      </c>
      <c r="B10">
        <v>5.1862059417550365E-6</v>
      </c>
      <c r="C10" s="4">
        <v>1402828427.1260099</v>
      </c>
      <c r="D10">
        <v>2.0583715066320309E-2</v>
      </c>
      <c r="E10" s="9">
        <f t="shared" si="0"/>
        <v>0.15909407643942788</v>
      </c>
      <c r="F10" s="6">
        <f>0.9*E11+0.1*E10</f>
        <v>8.7279608269888858</v>
      </c>
      <c r="G10" s="4">
        <v>1.58</v>
      </c>
      <c r="H10" s="4">
        <f t="shared" si="1"/>
        <v>2.0726247709927635E-3</v>
      </c>
      <c r="I10" s="7">
        <f>0.9*H11+0.1*H10</f>
        <v>0.11370497390680039</v>
      </c>
      <c r="J10" s="6">
        <f t="shared" si="2"/>
        <v>8.7946900266619981</v>
      </c>
      <c r="K10">
        <v>0</v>
      </c>
      <c r="L10" s="4">
        <f>0.9*H11*(1-K11)+0.1*H10*(1-K10)</f>
        <v>2.0726247709927637E-4</v>
      </c>
      <c r="M10" s="6">
        <f>1/L10</f>
        <v>4824.8000023709619</v>
      </c>
    </row>
    <row r="11" spans="1:13" x14ac:dyDescent="0.2">
      <c r="A11" s="1" t="s">
        <v>43</v>
      </c>
      <c r="B11">
        <v>1.6328052150537978E-5</v>
      </c>
      <c r="C11" s="4">
        <v>868740337.05044556</v>
      </c>
      <c r="D11">
        <v>2.0583715066320309E-2</v>
      </c>
      <c r="E11" s="9">
        <f t="shared" si="0"/>
        <v>9.6800571326054925</v>
      </c>
      <c r="F11" s="6"/>
      <c r="G11" s="4">
        <v>1.58</v>
      </c>
      <c r="H11" s="4">
        <f t="shared" si="1"/>
        <v>0.12610856825522346</v>
      </c>
      <c r="I11" s="7"/>
      <c r="J11" s="6"/>
      <c r="K11">
        <v>1</v>
      </c>
      <c r="M11" s="6"/>
    </row>
    <row r="12" spans="1:13" x14ac:dyDescent="0.2">
      <c r="A12" t="s">
        <v>44</v>
      </c>
      <c r="B12">
        <v>2.5836824247963936E-6</v>
      </c>
      <c r="C12" s="4">
        <v>2292232684.6603961</v>
      </c>
      <c r="D12">
        <v>3.2821789248379334E-3</v>
      </c>
      <c r="E12" s="9">
        <f t="shared" si="0"/>
        <v>1.6012739668037592E-2</v>
      </c>
      <c r="F12" s="6">
        <f>0.8*E13+0.2*E12</f>
        <v>2.5813612574119178</v>
      </c>
      <c r="G12" s="4">
        <v>2.2000000000000002</v>
      </c>
      <c r="H12" s="4">
        <f t="shared" si="1"/>
        <v>2.3889398485158795E-5</v>
      </c>
      <c r="I12" s="7">
        <f>0.8*H13+0.2*H12</f>
        <v>3.8511315983957017E-3</v>
      </c>
      <c r="J12" s="6">
        <f t="shared" si="2"/>
        <v>259.66393888398369</v>
      </c>
      <c r="K12">
        <v>0</v>
      </c>
      <c r="L12" s="4">
        <f>0.9*H13*(1-K13)+0.1*H12*(1-K12)</f>
        <v>2.3889398485158797E-6</v>
      </c>
      <c r="M12" s="6">
        <f>1/L12</f>
        <v>418595.7217052771</v>
      </c>
    </row>
    <row r="13" spans="1:13" x14ac:dyDescent="0.2">
      <c r="A13" t="s">
        <v>45</v>
      </c>
      <c r="B13">
        <v>1.0813709023874045E-5</v>
      </c>
      <c r="C13" s="4">
        <v>1503386083.965745</v>
      </c>
      <c r="D13">
        <v>3.2821789248379334E-3</v>
      </c>
      <c r="E13" s="9">
        <f t="shared" si="0"/>
        <v>3.2226983868478878</v>
      </c>
      <c r="F13" s="6"/>
      <c r="G13" s="4">
        <v>2.2000000000000002</v>
      </c>
      <c r="H13" s="4">
        <f t="shared" si="1"/>
        <v>4.807942148373337E-3</v>
      </c>
      <c r="I13" s="7"/>
      <c r="J13" s="6"/>
      <c r="K13">
        <v>1</v>
      </c>
      <c r="M13" s="6"/>
    </row>
    <row r="14" spans="1:13" x14ac:dyDescent="0.2">
      <c r="A14" t="s">
        <v>46</v>
      </c>
      <c r="B14">
        <v>3.3307382423796954E-6</v>
      </c>
      <c r="C14" s="5">
        <v>2292232684.6603961</v>
      </c>
      <c r="D14">
        <v>4.0518691249674379E-3</v>
      </c>
      <c r="E14" s="9">
        <f t="shared" si="0"/>
        <v>4.4225335180637211E-2</v>
      </c>
      <c r="F14" s="6">
        <f>0.8*E15+0.2*E14</f>
        <v>0.82571674219114233</v>
      </c>
      <c r="G14">
        <v>1</v>
      </c>
      <c r="H14" s="4">
        <f t="shared" si="1"/>
        <v>1.7919527015976014E-4</v>
      </c>
      <c r="I14" s="7">
        <f>0.8*H15+0.2*H14</f>
        <v>3.3456961736529874E-3</v>
      </c>
      <c r="J14" s="6">
        <f t="shared" si="2"/>
        <v>298.89145579771917</v>
      </c>
      <c r="K14">
        <v>0</v>
      </c>
      <c r="L14" s="4">
        <f>0.9*H15*(1-K15)+0.1*H14*(1-K14)</f>
        <v>1.7919527015976014E-5</v>
      </c>
      <c r="M14" s="6">
        <f>1/L14</f>
        <v>55805.044357948609</v>
      </c>
    </row>
    <row r="15" spans="1:13" x14ac:dyDescent="0.2">
      <c r="A15" t="s">
        <v>47</v>
      </c>
      <c r="B15">
        <v>8.1130794040723575E-6</v>
      </c>
      <c r="C15" s="5">
        <v>1503386083.965745</v>
      </c>
      <c r="D15">
        <v>4.0518691249674379E-3</v>
      </c>
      <c r="E15" s="9">
        <f t="shared" si="0"/>
        <v>1.0210895939437685</v>
      </c>
      <c r="F15" s="6"/>
      <c r="G15">
        <v>1</v>
      </c>
      <c r="H15" s="4">
        <f t="shared" si="1"/>
        <v>4.1373213995262942E-3</v>
      </c>
      <c r="I15" s="7"/>
      <c r="J15" s="6"/>
      <c r="K15">
        <v>1</v>
      </c>
      <c r="M15" s="6"/>
    </row>
    <row r="16" spans="1:13" x14ac:dyDescent="0.2">
      <c r="A16" s="1" t="s">
        <v>48</v>
      </c>
      <c r="B16">
        <v>3.2622435382064656E-6</v>
      </c>
      <c r="C16" s="5">
        <v>2292232684.6603961</v>
      </c>
      <c r="D16">
        <v>3.5130859848767782E-3</v>
      </c>
      <c r="E16" s="9">
        <f t="shared" si="0"/>
        <v>4.0698147115833389E-2</v>
      </c>
      <c r="F16" s="6">
        <f>0.8*E17+0.2*E16</f>
        <v>6.5884022665420092</v>
      </c>
      <c r="G16">
        <v>1.4</v>
      </c>
      <c r="H16" s="4">
        <f t="shared" si="1"/>
        <v>1.0212577874506255E-4</v>
      </c>
      <c r="I16" s="7">
        <f>0.8*H17+0.2*H16</f>
        <v>1.6532588332370809E-2</v>
      </c>
      <c r="J16" s="6">
        <f t="shared" si="2"/>
        <v>60.486596526570494</v>
      </c>
      <c r="K16">
        <v>0</v>
      </c>
      <c r="L16" s="4">
        <f>0.9*H17*(1-K17)+0.1*H16*(1-K16)</f>
        <v>1.0212577874506256E-5</v>
      </c>
      <c r="M16" s="6">
        <f>1/L16</f>
        <v>97918.4699777231</v>
      </c>
    </row>
    <row r="17" spans="1:13" x14ac:dyDescent="0.2">
      <c r="A17" s="1" t="s">
        <v>49</v>
      </c>
      <c r="B17">
        <v>1.366809769002995E-5</v>
      </c>
      <c r="C17" s="5">
        <v>1503386083.965745</v>
      </c>
      <c r="D17">
        <v>3.5130859848767782E-3</v>
      </c>
      <c r="E17" s="9">
        <f t="shared" si="0"/>
        <v>8.225328296398553</v>
      </c>
      <c r="F17" s="6"/>
      <c r="G17">
        <v>1.4</v>
      </c>
      <c r="H17" s="4">
        <f t="shared" si="1"/>
        <v>2.0640203970777246E-2</v>
      </c>
      <c r="I17" s="7"/>
      <c r="J17" s="6"/>
      <c r="K17">
        <v>1</v>
      </c>
      <c r="M17" s="6"/>
    </row>
    <row r="18" spans="1:13" x14ac:dyDescent="0.2">
      <c r="A18" s="1" t="s">
        <v>50</v>
      </c>
      <c r="B18">
        <v>5.0236676851693154E-6</v>
      </c>
      <c r="C18" s="4">
        <v>1550958901.7095528</v>
      </c>
      <c r="D18">
        <v>2.9091147972241493E-2</v>
      </c>
      <c r="E18" s="9">
        <f t="shared" si="0"/>
        <v>0.15485824058669137</v>
      </c>
      <c r="F18" s="6">
        <f>0.8*E19+0.2*E18</f>
        <v>5.0527041810896449</v>
      </c>
      <c r="G18" s="4">
        <v>3</v>
      </c>
      <c r="H18" s="4">
        <f t="shared" si="1"/>
        <v>1.5016679972094705E-3</v>
      </c>
      <c r="I18" s="7">
        <f>0.8*H19+0.2*H18</f>
        <v>4.8996321664014041E-2</v>
      </c>
      <c r="J18" s="6">
        <f t="shared" si="2"/>
        <v>20.409695381979308</v>
      </c>
      <c r="K18">
        <v>0</v>
      </c>
      <c r="L18" s="4">
        <f>0.9*H19*(1-K19)+0.1*H18*(1-K18)</f>
        <v>1.5016679972094707E-4</v>
      </c>
      <c r="M18" s="6">
        <f>1/L18</f>
        <v>6659.2615801780848</v>
      </c>
    </row>
    <row r="19" spans="1:13" x14ac:dyDescent="0.2">
      <c r="A19" s="1" t="s">
        <v>51</v>
      </c>
      <c r="B19">
        <v>1.5252151837670582E-5</v>
      </c>
      <c r="C19" s="4">
        <v>739926688.03710067</v>
      </c>
      <c r="D19">
        <v>2.9091147972241493E-2</v>
      </c>
      <c r="E19" s="9">
        <f t="shared" si="0"/>
        <v>6.2771656662153825</v>
      </c>
      <c r="F19" s="6"/>
      <c r="G19" s="4">
        <v>3</v>
      </c>
      <c r="H19" s="4">
        <f t="shared" si="1"/>
        <v>6.0869985080715179E-2</v>
      </c>
      <c r="I19" s="4"/>
      <c r="K19">
        <v>1</v>
      </c>
      <c r="M19" s="6"/>
    </row>
    <row r="20" spans="1:13" x14ac:dyDescent="0.2">
      <c r="C20" s="4"/>
      <c r="D20" s="4"/>
    </row>
    <row r="21" spans="1:13" x14ac:dyDescent="0.2">
      <c r="C21" s="4"/>
    </row>
    <row r="22" spans="1:13" x14ac:dyDescent="0.2">
      <c r="B22" t="s">
        <v>59</v>
      </c>
      <c r="C22" t="s">
        <v>62</v>
      </c>
    </row>
    <row r="23" spans="1:13" x14ac:dyDescent="0.2">
      <c r="A23" t="s">
        <v>5</v>
      </c>
      <c r="B23">
        <v>329.47355533052382</v>
      </c>
      <c r="C23" s="6">
        <f>M2</f>
        <v>156753.29824364436</v>
      </c>
    </row>
    <row r="24" spans="1:13" x14ac:dyDescent="0.2">
      <c r="A24" t="s">
        <v>6</v>
      </c>
      <c r="B24">
        <v>15.980137328944974</v>
      </c>
      <c r="C24" s="6">
        <f>M4</f>
        <v>113035.25108304809</v>
      </c>
    </row>
    <row r="25" spans="1:13" x14ac:dyDescent="0.2">
      <c r="A25" t="s">
        <v>7</v>
      </c>
      <c r="B25">
        <v>27.750095871953938</v>
      </c>
      <c r="C25" s="6">
        <f>M6</f>
        <v>39165.468500135023</v>
      </c>
    </row>
    <row r="26" spans="1:13" x14ac:dyDescent="0.2">
      <c r="A26" t="s">
        <v>8</v>
      </c>
      <c r="B26">
        <v>324.58856942471942</v>
      </c>
      <c r="C26" s="6">
        <f>M8</f>
        <v>498156.6767163084</v>
      </c>
      <c r="K26" s="8"/>
    </row>
    <row r="27" spans="1:13" x14ac:dyDescent="0.2">
      <c r="A27" t="s">
        <v>9</v>
      </c>
      <c r="B27">
        <v>4.6555112340852203</v>
      </c>
      <c r="C27" s="6">
        <f>M10</f>
        <v>4824.8000023709619</v>
      </c>
    </row>
    <row r="28" spans="1:13" x14ac:dyDescent="0.2">
      <c r="A28" t="s">
        <v>1</v>
      </c>
      <c r="B28">
        <v>152.60090694067435</v>
      </c>
      <c r="C28" s="6">
        <f>M12</f>
        <v>418595.7217052771</v>
      </c>
    </row>
    <row r="29" spans="1:13" x14ac:dyDescent="0.2">
      <c r="A29" t="s">
        <v>2</v>
      </c>
      <c r="B29">
        <v>180.29416298866764</v>
      </c>
      <c r="C29" s="6">
        <f>M14</f>
        <v>55805.044357948609</v>
      </c>
    </row>
    <row r="30" spans="1:13" x14ac:dyDescent="0.2">
      <c r="A30" t="s">
        <v>3</v>
      </c>
      <c r="B30">
        <v>21.962099439999999</v>
      </c>
      <c r="C30" s="6">
        <f>M16</f>
        <v>97918.4699777231</v>
      </c>
    </row>
    <row r="31" spans="1:13" x14ac:dyDescent="0.2">
      <c r="A31" t="s">
        <v>4</v>
      </c>
      <c r="B31">
        <v>14.341027141235186</v>
      </c>
      <c r="C31" s="6">
        <f>M18</f>
        <v>6659.2615801780848</v>
      </c>
    </row>
    <row r="32" spans="1:13" x14ac:dyDescent="0.2">
      <c r="B32" s="6"/>
    </row>
    <row r="34" spans="1:7" x14ac:dyDescent="0.2">
      <c r="B34" s="6"/>
    </row>
    <row r="36" spans="1:7" x14ac:dyDescent="0.2">
      <c r="A36" t="s">
        <v>68</v>
      </c>
      <c r="B36" s="6"/>
    </row>
    <row r="37" spans="1:7" x14ac:dyDescent="0.2">
      <c r="A37" t="s">
        <v>70</v>
      </c>
      <c r="B37" t="s">
        <v>65</v>
      </c>
      <c r="C37" t="s">
        <v>69</v>
      </c>
      <c r="D37" t="s">
        <v>66</v>
      </c>
      <c r="E37" t="s">
        <v>67</v>
      </c>
    </row>
    <row r="38" spans="1:7" x14ac:dyDescent="0.2">
      <c r="A38">
        <v>3.9447078898953992E-6</v>
      </c>
      <c r="B38">
        <f>A38*2</f>
        <v>7.8894157797907984E-6</v>
      </c>
      <c r="C38">
        <f>A38*0.69</f>
        <v>2.7218484440278254E-6</v>
      </c>
      <c r="D38">
        <f t="shared" ref="D38:D55" si="3">(2*A38*C38)/((A38^2)+(C38^2))</f>
        <v>0.93489600975543652</v>
      </c>
      <c r="E38">
        <f t="shared" ref="E38:E55" si="4">E2*D38</f>
        <v>6.4353879045904228E-2</v>
      </c>
    </row>
    <row r="39" spans="1:7" x14ac:dyDescent="0.2">
      <c r="A39">
        <v>9.5150918379784379E-6</v>
      </c>
      <c r="B39">
        <f t="shared" ref="B39:B55" si="5">A39*2</f>
        <v>1.9030183675956876E-5</v>
      </c>
      <c r="C39">
        <f>B39*0.79</f>
        <v>1.5033845104005932E-5</v>
      </c>
      <c r="D39">
        <f t="shared" si="3"/>
        <v>0.90378675208786186</v>
      </c>
      <c r="E39">
        <f t="shared" si="4"/>
        <v>1.706996477364797</v>
      </c>
    </row>
    <row r="40" spans="1:7" x14ac:dyDescent="0.2">
      <c r="A40">
        <v>2.8638652662134877E-6</v>
      </c>
      <c r="B40">
        <f t="shared" si="5"/>
        <v>5.7277305324269754E-6</v>
      </c>
      <c r="C40">
        <f>A40*0.69</f>
        <v>1.9760670336873064E-6</v>
      </c>
      <c r="D40">
        <f t="shared" si="3"/>
        <v>0.93489600975543652</v>
      </c>
      <c r="E40">
        <f t="shared" si="4"/>
        <v>1.9789228147533391E-2</v>
      </c>
    </row>
    <row r="41" spans="1:7" x14ac:dyDescent="0.2">
      <c r="A41">
        <v>1.1855467471975715E-5</v>
      </c>
      <c r="B41">
        <f t="shared" si="5"/>
        <v>2.3710934943951429E-5</v>
      </c>
      <c r="C41">
        <f>B41*0.79</f>
        <v>1.8731638605721629E-5</v>
      </c>
      <c r="D41">
        <f t="shared" si="3"/>
        <v>0.90378675208786197</v>
      </c>
      <c r="E41">
        <f t="shared" si="4"/>
        <v>4.2379979075746617</v>
      </c>
    </row>
    <row r="42" spans="1:7" x14ac:dyDescent="0.2">
      <c r="A42">
        <v>3.9737291970577394E-6</v>
      </c>
      <c r="B42">
        <f t="shared" si="5"/>
        <v>7.9474583941154787E-6</v>
      </c>
      <c r="C42">
        <f>A42*0.69</f>
        <v>2.7418731459698399E-6</v>
      </c>
      <c r="D42">
        <f t="shared" si="3"/>
        <v>0.93489600975543674</v>
      </c>
      <c r="E42">
        <f t="shared" si="4"/>
        <v>7.0056297521063751E-2</v>
      </c>
    </row>
    <row r="43" spans="1:7" x14ac:dyDescent="0.2">
      <c r="A43">
        <v>1.1392050223224078E-5</v>
      </c>
      <c r="B43">
        <f t="shared" si="5"/>
        <v>2.2784100446448157E-5</v>
      </c>
      <c r="C43">
        <f>B43*0.79</f>
        <v>1.7999439352694046E-5</v>
      </c>
      <c r="D43">
        <f t="shared" si="3"/>
        <v>0.90378675208786174</v>
      </c>
      <c r="E43">
        <f t="shared" si="4"/>
        <v>2.4931120414286467</v>
      </c>
      <c r="G43" s="4"/>
    </row>
    <row r="44" spans="1:7" x14ac:dyDescent="0.2">
      <c r="A44">
        <v>3.4085647549750528E-6</v>
      </c>
      <c r="B44">
        <f t="shared" si="5"/>
        <v>6.8171295099501056E-6</v>
      </c>
      <c r="C44">
        <f>A44*0.69</f>
        <v>2.3519096809327864E-6</v>
      </c>
      <c r="D44">
        <f t="shared" si="3"/>
        <v>0.93489600975543652</v>
      </c>
      <c r="E44">
        <f t="shared" si="4"/>
        <v>1.6145286422006706E-2</v>
      </c>
      <c r="G44" s="4"/>
    </row>
    <row r="45" spans="1:7" x14ac:dyDescent="0.2">
      <c r="A45">
        <v>9.540610062163369E-6</v>
      </c>
      <c r="B45">
        <f t="shared" si="5"/>
        <v>1.9081220124326738E-5</v>
      </c>
      <c r="C45">
        <f>B45*0.79</f>
        <v>1.5074163898218124E-5</v>
      </c>
      <c r="D45">
        <f t="shared" si="3"/>
        <v>0.90378675208786174</v>
      </c>
      <c r="E45">
        <f t="shared" si="4"/>
        <v>1.5396696022484899</v>
      </c>
      <c r="G45" s="4"/>
    </row>
    <row r="46" spans="1:7" x14ac:dyDescent="0.2">
      <c r="A46">
        <v>5.5508204613628374E-6</v>
      </c>
      <c r="B46">
        <f t="shared" si="5"/>
        <v>1.1101640922725675E-5</v>
      </c>
      <c r="C46">
        <f>A46*0.69</f>
        <v>3.8300661183403574E-6</v>
      </c>
      <c r="D46">
        <f t="shared" si="3"/>
        <v>0.93489600975543663</v>
      </c>
      <c r="E46">
        <f t="shared" si="4"/>
        <v>0.14873641723894754</v>
      </c>
    </row>
    <row r="47" spans="1:7" x14ac:dyDescent="0.2">
      <c r="A47">
        <v>1.5379800820041051E-5</v>
      </c>
      <c r="B47">
        <f t="shared" si="5"/>
        <v>3.0759601640082102E-5</v>
      </c>
      <c r="C47">
        <f>B47*0.79</f>
        <v>2.4300085295664863E-5</v>
      </c>
      <c r="D47">
        <f t="shared" si="3"/>
        <v>0.90378675208786186</v>
      </c>
      <c r="E47">
        <f t="shared" si="4"/>
        <v>8.7487073959024588</v>
      </c>
    </row>
    <row r="48" spans="1:7" x14ac:dyDescent="0.2">
      <c r="A48">
        <v>3.0397148171416321E-6</v>
      </c>
      <c r="B48">
        <f t="shared" si="5"/>
        <v>6.0794296342832642E-6</v>
      </c>
      <c r="C48">
        <f>A48*0.69</f>
        <v>2.0974032238277261E-6</v>
      </c>
      <c r="D48">
        <f t="shared" si="3"/>
        <v>0.93489600975543674</v>
      </c>
      <c r="E48">
        <f t="shared" si="4"/>
        <v>1.4970246420900942E-2</v>
      </c>
    </row>
    <row r="49" spans="1:5" x14ac:dyDescent="0.2">
      <c r="A49">
        <v>1.0296078113928704E-5</v>
      </c>
      <c r="B49">
        <f t="shared" si="5"/>
        <v>2.0592156227857408E-5</v>
      </c>
      <c r="C49">
        <f>B49*0.79</f>
        <v>1.6267803420007354E-5</v>
      </c>
      <c r="D49">
        <f t="shared" si="3"/>
        <v>0.90378675208786163</v>
      </c>
      <c r="E49">
        <f t="shared" si="4"/>
        <v>2.9126321080080437</v>
      </c>
    </row>
    <row r="50" spans="1:5" x14ac:dyDescent="0.2">
      <c r="A50">
        <v>3.2873644458826822E-6</v>
      </c>
      <c r="B50">
        <f t="shared" si="5"/>
        <v>6.5747288917653644E-6</v>
      </c>
      <c r="C50">
        <f>A50*0.69</f>
        <v>2.2682814676590507E-6</v>
      </c>
      <c r="D50">
        <f t="shared" si="3"/>
        <v>0.93489600975543663</v>
      </c>
      <c r="E50">
        <f t="shared" si="4"/>
        <v>4.1346089390474461E-2</v>
      </c>
    </row>
    <row r="51" spans="1:5" x14ac:dyDescent="0.2">
      <c r="A51">
        <v>7.6126638685896075E-6</v>
      </c>
      <c r="B51">
        <f t="shared" si="5"/>
        <v>1.5225327737179215E-5</v>
      </c>
      <c r="C51">
        <f>B51*0.79</f>
        <v>1.2028008912371581E-5</v>
      </c>
      <c r="D51">
        <f t="shared" si="3"/>
        <v>0.90378675208786186</v>
      </c>
      <c r="E51">
        <f t="shared" si="4"/>
        <v>0.92284724770115223</v>
      </c>
    </row>
    <row r="52" spans="1:5" x14ac:dyDescent="0.2">
      <c r="A52">
        <v>3.7855601985837959E-6</v>
      </c>
      <c r="B52">
        <f t="shared" si="5"/>
        <v>7.5711203971675918E-6</v>
      </c>
      <c r="C52">
        <f>A52*0.69</f>
        <v>2.6120365370228191E-6</v>
      </c>
      <c r="D52">
        <f t="shared" si="3"/>
        <v>0.93489600975543663</v>
      </c>
      <c r="E52">
        <f t="shared" si="4"/>
        <v>3.8048535343032368E-2</v>
      </c>
    </row>
    <row r="53" spans="1:5" x14ac:dyDescent="0.2">
      <c r="A53">
        <v>1.2865905899897505E-5</v>
      </c>
      <c r="B53">
        <f t="shared" si="5"/>
        <v>2.5731811799795011E-5</v>
      </c>
      <c r="C53">
        <f>B53*0.79</f>
        <v>2.032813132183806E-5</v>
      </c>
      <c r="D53">
        <f t="shared" si="3"/>
        <v>0.90378675208786174</v>
      </c>
      <c r="E53">
        <f t="shared" si="4"/>
        <v>7.4339427458584328</v>
      </c>
    </row>
    <row r="54" spans="1:5" x14ac:dyDescent="0.2">
      <c r="A54">
        <v>5.3741164633481407E-6</v>
      </c>
      <c r="B54">
        <f t="shared" si="5"/>
        <v>1.0748232926696281E-5</v>
      </c>
      <c r="C54">
        <f>A54*0.69</f>
        <v>3.7081403597102169E-6</v>
      </c>
      <c r="D54">
        <f t="shared" si="3"/>
        <v>0.93489600975543663</v>
      </c>
      <c r="E54">
        <f t="shared" si="4"/>
        <v>0.14477635120224516</v>
      </c>
    </row>
    <row r="55" spans="1:5" x14ac:dyDescent="0.2">
      <c r="A55">
        <v>1.4451200535072439E-5</v>
      </c>
      <c r="B55">
        <f t="shared" si="5"/>
        <v>2.8902401070144878E-5</v>
      </c>
      <c r="C55">
        <f>B55*0.79</f>
        <v>2.2832896845414456E-5</v>
      </c>
      <c r="D55">
        <f t="shared" si="3"/>
        <v>0.90378675208786186</v>
      </c>
      <c r="E55">
        <f t="shared" si="4"/>
        <v>5.6732191697862397</v>
      </c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B2203-F51D-4D48-AE0E-189AC4250DF5}">
  <dimension ref="A1:M55"/>
  <sheetViews>
    <sheetView zoomScale="78" workbookViewId="0">
      <selection activeCell="G18" sqref="G18"/>
    </sheetView>
  </sheetViews>
  <sheetFormatPr baseColWidth="10" defaultRowHeight="16" x14ac:dyDescent="0.2"/>
  <cols>
    <col min="2" max="2" width="19.33203125" customWidth="1"/>
    <col min="3" max="3" width="29.5" customWidth="1"/>
    <col min="4" max="4" width="16.33203125" customWidth="1"/>
    <col min="5" max="6" width="25.33203125" customWidth="1"/>
    <col min="8" max="8" width="22" customWidth="1"/>
    <col min="9" max="9" width="19.33203125" customWidth="1"/>
    <col min="10" max="10" width="19.5" customWidth="1"/>
    <col min="11" max="11" width="16.6640625" customWidth="1"/>
    <col min="12" max="12" width="19.5" customWidth="1"/>
    <col min="13" max="13" width="26.5" customWidth="1"/>
  </cols>
  <sheetData>
    <row r="1" spans="1:13" x14ac:dyDescent="0.2">
      <c r="B1" t="s">
        <v>52</v>
      </c>
      <c r="C1" t="s">
        <v>55</v>
      </c>
      <c r="D1" t="s">
        <v>54</v>
      </c>
      <c r="E1" t="s">
        <v>53</v>
      </c>
      <c r="F1" t="s">
        <v>63</v>
      </c>
      <c r="G1" t="s">
        <v>57</v>
      </c>
      <c r="H1" t="s">
        <v>56</v>
      </c>
      <c r="I1" t="s">
        <v>58</v>
      </c>
      <c r="J1" t="s">
        <v>59</v>
      </c>
      <c r="K1" t="s">
        <v>61</v>
      </c>
      <c r="L1" t="s">
        <v>60</v>
      </c>
      <c r="M1" t="s">
        <v>62</v>
      </c>
    </row>
    <row r="2" spans="1:13" x14ac:dyDescent="0.2">
      <c r="A2" t="s">
        <v>35</v>
      </c>
      <c r="B2">
        <v>4.0580484027503229E-6</v>
      </c>
      <c r="C2" s="4">
        <v>1945044766.9033651</v>
      </c>
      <c r="D2">
        <v>1.6681856990561855E-3</v>
      </c>
      <c r="E2" s="9">
        <f>(C2*((PI()*B2^4)/(8*0.000000001002)))*998*0.4</f>
        <v>8.2524174647069459E-2</v>
      </c>
      <c r="F2" s="8">
        <f>0.9*E3+0.1*E2</f>
        <v>1.8251209949237097</v>
      </c>
      <c r="G2" s="4">
        <v>1.8</v>
      </c>
      <c r="H2" s="4">
        <f t="shared" ref="H2:H19" si="0">(E2*D2)/I28</f>
        <v>7.6480915540364617E-5</v>
      </c>
      <c r="I2" s="7">
        <f>0.9*H3+0.1*H2</f>
        <v>1.6914670793216277E-3</v>
      </c>
      <c r="J2" s="6">
        <f>1/I2</f>
        <v>591.20275660408095</v>
      </c>
      <c r="K2">
        <v>0</v>
      </c>
      <c r="L2" s="4">
        <f>0.9*H3*(1-K3)+0.1*H2*(1-K2)</f>
        <v>7.6480915540364624E-6</v>
      </c>
      <c r="M2" s="6">
        <f>1/L2</f>
        <v>130751.57285116785</v>
      </c>
    </row>
    <row r="3" spans="1:13" x14ac:dyDescent="0.2">
      <c r="A3" t="s">
        <v>34</v>
      </c>
      <c r="B3">
        <v>9.9828697792239931E-6</v>
      </c>
      <c r="C3" s="4">
        <v>1299202009.309938</v>
      </c>
      <c r="D3">
        <v>1.6681856990561855E-3</v>
      </c>
      <c r="E3" s="9">
        <f t="shared" ref="E3:E18" si="1">(C3*((PI()*B3^4)/(8*0.000000001002)))*998*0.4</f>
        <v>2.0187428638433365</v>
      </c>
      <c r="F3" s="6"/>
      <c r="G3" s="4">
        <v>1.8</v>
      </c>
      <c r="H3" s="4">
        <f t="shared" si="0"/>
        <v>1.8709099864084346E-3</v>
      </c>
      <c r="I3" s="7"/>
      <c r="J3" s="6"/>
      <c r="K3">
        <v>1</v>
      </c>
      <c r="M3" s="6"/>
    </row>
    <row r="4" spans="1:13" x14ac:dyDescent="0.2">
      <c r="A4" t="s">
        <v>36</v>
      </c>
      <c r="B4">
        <v>3.3924620126130608E-6</v>
      </c>
      <c r="C4" s="4">
        <v>1907785001.1622787</v>
      </c>
      <c r="D4">
        <v>5.0153563219152587E-3</v>
      </c>
      <c r="E4" s="9">
        <f t="shared" si="1"/>
        <v>3.9534122178530633E-2</v>
      </c>
      <c r="F4" s="6">
        <f>0.9*E5+0.1*E4</f>
        <v>4.6609947272368375</v>
      </c>
      <c r="G4" s="4">
        <v>1.2</v>
      </c>
      <c r="H4" s="4">
        <f t="shared" si="0"/>
        <v>3.9655541919892767E-4</v>
      </c>
      <c r="I4" s="7">
        <f>0.9*H5+0.1*H4</f>
        <v>4.6753098743321918E-2</v>
      </c>
      <c r="J4" s="6">
        <f t="shared" ref="J4:J18" si="2">1/I4</f>
        <v>21.388956601359759</v>
      </c>
      <c r="K4">
        <v>0</v>
      </c>
      <c r="L4" s="4">
        <f>0.9*H5*(1-K5)+0.1*H4*(1-K4)</f>
        <v>3.9655541919892769E-5</v>
      </c>
      <c r="M4" s="6">
        <f>1/L4</f>
        <v>25217.156331391878</v>
      </c>
    </row>
    <row r="5" spans="1:13" x14ac:dyDescent="0.2">
      <c r="A5" t="s">
        <v>37</v>
      </c>
      <c r="B5">
        <v>1.3189571635939085E-5</v>
      </c>
      <c r="C5" s="4">
        <v>1092853935.7065306</v>
      </c>
      <c r="D5">
        <v>5.0153563219152587E-3</v>
      </c>
      <c r="E5" s="9">
        <f t="shared" si="1"/>
        <v>5.1744903500210935</v>
      </c>
      <c r="F5" s="6"/>
      <c r="G5" s="4">
        <v>1.2</v>
      </c>
      <c r="H5" s="4">
        <f t="shared" si="0"/>
        <v>5.1903825779335583E-2</v>
      </c>
      <c r="I5" s="7"/>
      <c r="J5" s="6"/>
      <c r="K5">
        <v>1</v>
      </c>
      <c r="M5" s="6"/>
    </row>
    <row r="6" spans="1:13" x14ac:dyDescent="0.2">
      <c r="A6" s="1" t="s">
        <v>40</v>
      </c>
      <c r="B6">
        <v>4.3618091347456082E-6</v>
      </c>
      <c r="C6" s="4">
        <v>1885175116.9630623</v>
      </c>
      <c r="D6">
        <v>4.0887828386471153E-3</v>
      </c>
      <c r="E6" s="9">
        <f t="shared" si="1"/>
        <v>0.10675814677925254</v>
      </c>
      <c r="F6" s="6">
        <f>0.9*E7+0.1*E6</f>
        <v>3.4799853349170071</v>
      </c>
      <c r="G6" s="4">
        <v>1.2</v>
      </c>
      <c r="H6" s="4">
        <f t="shared" si="0"/>
        <v>8.7302175687355512E-4</v>
      </c>
      <c r="I6" s="7">
        <f>0.9*H7+0.1*H6</f>
        <v>2.8457808632304588E-2</v>
      </c>
      <c r="J6" s="6">
        <f t="shared" si="2"/>
        <v>35.139740129702929</v>
      </c>
      <c r="K6">
        <v>0</v>
      </c>
      <c r="L6" s="4">
        <f>0.9*H7*(1-K7)+0.1*H6*(1-K6)</f>
        <v>8.7302175687355518E-5</v>
      </c>
      <c r="M6" s="6">
        <f>1/L6</f>
        <v>11454.468254962812</v>
      </c>
    </row>
    <row r="7" spans="1:13" x14ac:dyDescent="0.2">
      <c r="A7" s="1" t="s">
        <v>41</v>
      </c>
      <c r="B7">
        <v>1.2859088208828339E-5</v>
      </c>
      <c r="C7" s="4">
        <v>901108611.14501977</v>
      </c>
      <c r="D7">
        <v>4.0887828386471153E-3</v>
      </c>
      <c r="E7" s="9">
        <f t="shared" si="1"/>
        <v>3.8547883558212024</v>
      </c>
      <c r="F7" s="6"/>
      <c r="G7" s="4">
        <v>1.2</v>
      </c>
      <c r="H7" s="4">
        <f t="shared" si="0"/>
        <v>3.1522784951796924E-2</v>
      </c>
      <c r="I7" s="7"/>
      <c r="J7" s="6"/>
      <c r="K7">
        <v>1</v>
      </c>
      <c r="M7" s="6"/>
    </row>
    <row r="8" spans="1:13" x14ac:dyDescent="0.2">
      <c r="A8" s="1" t="s">
        <v>38</v>
      </c>
      <c r="B8">
        <v>3.715307102569821E-6</v>
      </c>
      <c r="C8" s="4">
        <v>1921749773.7200744</v>
      </c>
      <c r="D8">
        <v>2.0923007072908058E-3</v>
      </c>
      <c r="E8" s="9">
        <f t="shared" si="1"/>
        <v>5.7287306935440346E-2</v>
      </c>
      <c r="F8" s="6">
        <f>0.9*E9+0.1*E8</f>
        <v>1.5605309058300825</v>
      </c>
      <c r="G8" s="4">
        <v>1.8</v>
      </c>
      <c r="H8" s="4">
        <f t="shared" si="0"/>
        <v>7.990818187987155E-5</v>
      </c>
      <c r="I8" s="7">
        <f>0.9*H9+0.1*H8</f>
        <v>2.1767332786782959E-3</v>
      </c>
      <c r="J8" s="6">
        <f t="shared" si="2"/>
        <v>459.40401141254944</v>
      </c>
      <c r="K8">
        <v>0</v>
      </c>
      <c r="L8" s="4">
        <f>0.9*H9*(1-K9)+0.1*H8*(1-K8)</f>
        <v>7.9908181879871557E-6</v>
      </c>
      <c r="M8" s="6">
        <f>1/L8</f>
        <v>125143.63066141725</v>
      </c>
    </row>
    <row r="9" spans="1:13" x14ac:dyDescent="0.2">
      <c r="A9" s="1" t="s">
        <v>39</v>
      </c>
      <c r="B9">
        <v>1.0176061550091367E-5</v>
      </c>
      <c r="C9" s="4">
        <v>1029748179.181354</v>
      </c>
      <c r="D9">
        <v>2.0923007072908058E-3</v>
      </c>
      <c r="E9" s="9">
        <f t="shared" si="1"/>
        <v>1.7275579723739316</v>
      </c>
      <c r="F9" s="6"/>
      <c r="G9" s="4">
        <v>1.8</v>
      </c>
      <c r="H9" s="4">
        <f t="shared" si="0"/>
        <v>2.4097138449892318E-3</v>
      </c>
      <c r="I9" s="7"/>
      <c r="J9" s="6"/>
      <c r="K9">
        <v>1</v>
      </c>
      <c r="M9" s="6"/>
    </row>
    <row r="10" spans="1:13" x14ac:dyDescent="0.2">
      <c r="A10" s="1" t="s">
        <v>42</v>
      </c>
      <c r="B10">
        <v>5.9776164688358227E-6</v>
      </c>
      <c r="C10" s="4">
        <v>1402828427.1260099</v>
      </c>
      <c r="D10">
        <v>2.0583715066320309E-2</v>
      </c>
      <c r="E10" s="9">
        <f t="shared" si="1"/>
        <v>0.2802202018871372</v>
      </c>
      <c r="F10" s="6">
        <f>0.9*E11+0.1*E10</f>
        <v>9.2755433406780803</v>
      </c>
      <c r="G10" s="4">
        <v>1.58</v>
      </c>
      <c r="H10" s="4">
        <f t="shared" si="0"/>
        <v>3.8453151943143899E-3</v>
      </c>
      <c r="I10" s="7">
        <f>0.9*H11+0.1*H10</f>
        <v>0.12728342747321497</v>
      </c>
      <c r="J10" s="6">
        <f t="shared" si="2"/>
        <v>7.8564823390730592</v>
      </c>
      <c r="K10">
        <v>0</v>
      </c>
      <c r="L10" s="4">
        <f>0.9*H11*(1-K11)+0.1*H10*(1-K10)</f>
        <v>3.8453151943143902E-4</v>
      </c>
      <c r="M10" s="6">
        <f>1/L10</f>
        <v>2600.5670522889282</v>
      </c>
    </row>
    <row r="11" spans="1:13" x14ac:dyDescent="0.2">
      <c r="A11" s="1" t="s">
        <v>43</v>
      </c>
      <c r="B11">
        <v>1.6581642098592659E-5</v>
      </c>
      <c r="C11" s="4">
        <v>868740337.05044556</v>
      </c>
      <c r="D11">
        <v>2.0583715066320309E-2</v>
      </c>
      <c r="E11" s="9">
        <f t="shared" si="1"/>
        <v>10.275023689432631</v>
      </c>
      <c r="F11" s="6"/>
      <c r="G11" s="4">
        <v>1.58</v>
      </c>
      <c r="H11" s="4">
        <f t="shared" si="0"/>
        <v>0.14099877328198171</v>
      </c>
      <c r="I11" s="7"/>
      <c r="J11" s="6"/>
      <c r="K11">
        <v>1</v>
      </c>
      <c r="M11" s="6"/>
    </row>
    <row r="12" spans="1:13" x14ac:dyDescent="0.2">
      <c r="A12" t="s">
        <v>44</v>
      </c>
      <c r="B12">
        <v>3.2418779485204275E-6</v>
      </c>
      <c r="C12" s="4">
        <v>2292232684.6603961</v>
      </c>
      <c r="D12">
        <v>3.2821789248379334E-3</v>
      </c>
      <c r="E12" s="9">
        <f t="shared" si="1"/>
        <v>3.961211570271634E-2</v>
      </c>
      <c r="F12" s="6">
        <f>0.8*E13+0.2*E12</f>
        <v>2.7200790094000342</v>
      </c>
      <c r="G12" s="4">
        <v>2.2000000000000002</v>
      </c>
      <c r="H12" s="4">
        <f t="shared" si="0"/>
        <v>6.5007025663848674E-5</v>
      </c>
      <c r="I12" s="7">
        <f>0.8*H13+0.2*H12</f>
        <v>4.4638929992734172E-3</v>
      </c>
      <c r="J12" s="6">
        <f t="shared" si="2"/>
        <v>224.01970660201059</v>
      </c>
      <c r="K12">
        <v>0</v>
      </c>
      <c r="L12" s="4">
        <f>0.9*H13*(1-K13)+0.1*H12*(1-K12)</f>
        <v>6.5007025663848677E-6</v>
      </c>
      <c r="M12" s="6">
        <f>1/L12</f>
        <v>153829.52685314353</v>
      </c>
    </row>
    <row r="13" spans="1:13" x14ac:dyDescent="0.2">
      <c r="A13" t="s">
        <v>45</v>
      </c>
      <c r="B13">
        <v>1.0957030928930609E-5</v>
      </c>
      <c r="C13" s="4">
        <v>1503386083.965745</v>
      </c>
      <c r="D13">
        <v>3.2821789248379334E-3</v>
      </c>
      <c r="E13" s="9">
        <f t="shared" si="1"/>
        <v>3.3901957328243633</v>
      </c>
      <c r="F13" s="6"/>
      <c r="G13" s="4">
        <v>2.2000000000000002</v>
      </c>
      <c r="H13" s="4">
        <f t="shared" si="0"/>
        <v>5.5636144926758096E-3</v>
      </c>
      <c r="I13" s="7"/>
      <c r="J13" s="6"/>
      <c r="K13">
        <v>1</v>
      </c>
      <c r="M13" s="6"/>
    </row>
    <row r="14" spans="1:13" x14ac:dyDescent="0.2">
      <c r="A14" t="s">
        <v>46</v>
      </c>
      <c r="B14">
        <v>3.6671960402346305E-6</v>
      </c>
      <c r="C14" s="5">
        <v>2292232684.6603961</v>
      </c>
      <c r="D14">
        <v>4.0518691249674379E-3</v>
      </c>
      <c r="E14" s="9">
        <f t="shared" si="1"/>
        <v>6.4860143562272585E-2</v>
      </c>
      <c r="F14" s="6">
        <f>0.8*E15+0.2*E14</f>
        <v>0.85390584782036461</v>
      </c>
      <c r="G14">
        <v>1</v>
      </c>
      <c r="H14" s="4">
        <f t="shared" si="0"/>
        <v>2.628048131409278E-4</v>
      </c>
      <c r="I14" s="7">
        <f>0.8*H15+0.2*H14</f>
        <v>3.4599147404124793E-3</v>
      </c>
      <c r="J14" s="6">
        <f t="shared" si="2"/>
        <v>289.02446303656126</v>
      </c>
      <c r="K14">
        <v>0</v>
      </c>
      <c r="L14" s="4">
        <f>0.9*H15*(1-K15)+0.1*H14*(1-K14)</f>
        <v>2.6280481314092781E-5</v>
      </c>
      <c r="M14" s="6">
        <f>1/L14</f>
        <v>38051.053481419869</v>
      </c>
    </row>
    <row r="15" spans="1:13" x14ac:dyDescent="0.2">
      <c r="A15" t="s">
        <v>47</v>
      </c>
      <c r="B15">
        <v>8.1762592261227208E-6</v>
      </c>
      <c r="C15" s="5">
        <v>1503386083.965745</v>
      </c>
      <c r="D15">
        <v>4.0518691249674379E-3</v>
      </c>
      <c r="E15" s="9">
        <f t="shared" si="1"/>
        <v>1.0511672738848876</v>
      </c>
      <c r="F15" s="6"/>
      <c r="G15">
        <v>1</v>
      </c>
      <c r="H15" s="4">
        <f t="shared" si="0"/>
        <v>4.2591922222303671E-3</v>
      </c>
      <c r="I15" s="7"/>
      <c r="J15" s="6"/>
      <c r="K15">
        <v>1</v>
      </c>
      <c r="M15" s="6"/>
    </row>
    <row r="16" spans="1:13" x14ac:dyDescent="0.2">
      <c r="A16" s="1" t="s">
        <v>48</v>
      </c>
      <c r="B16">
        <v>4.198072996809769E-6</v>
      </c>
      <c r="C16" s="5">
        <v>2292232684.6603961</v>
      </c>
      <c r="D16">
        <v>3.5130859848767782E-3</v>
      </c>
      <c r="E16" s="9">
        <f t="shared" si="1"/>
        <v>0.11138875277802224</v>
      </c>
      <c r="F16" s="6">
        <f>0.8*E17+0.2*E16</f>
        <v>6.9986098168953808</v>
      </c>
      <c r="G16">
        <v>1.4</v>
      </c>
      <c r="H16" s="4">
        <f t="shared" si="0"/>
        <v>4.6037443089102847E-4</v>
      </c>
      <c r="I16" s="7">
        <f>0.8*H17+0.2*H16</f>
        <v>2.8925550660419054E-2</v>
      </c>
      <c r="J16" s="6">
        <f t="shared" si="2"/>
        <v>34.571511247610339</v>
      </c>
      <c r="K16">
        <v>0</v>
      </c>
      <c r="L16" s="4">
        <f>0.9*H17*(1-K17)+0.1*H16*(1-K16)</f>
        <v>4.603744308910285E-5</v>
      </c>
      <c r="M16" s="6">
        <f>1/L16</f>
        <v>21721.449604934769</v>
      </c>
    </row>
    <row r="17" spans="1:13" x14ac:dyDescent="0.2">
      <c r="A17" s="1" t="s">
        <v>49</v>
      </c>
      <c r="B17">
        <v>1.3876213831805063E-5</v>
      </c>
      <c r="C17" s="5">
        <v>1503386083.965745</v>
      </c>
      <c r="D17">
        <v>3.5130859848767782E-3</v>
      </c>
      <c r="E17" s="9">
        <f t="shared" si="1"/>
        <v>8.7204150829247205</v>
      </c>
      <c r="F17" s="6"/>
      <c r="G17">
        <v>1.4</v>
      </c>
      <c r="H17" s="4">
        <f t="shared" si="0"/>
        <v>3.6041844717801058E-2</v>
      </c>
      <c r="I17" s="7"/>
      <c r="J17" s="6"/>
      <c r="K17">
        <v>1</v>
      </c>
      <c r="M17" s="6"/>
    </row>
    <row r="18" spans="1:13" x14ac:dyDescent="0.2">
      <c r="A18" s="1" t="s">
        <v>50</v>
      </c>
      <c r="B18">
        <v>5.9716794117854171E-6</v>
      </c>
      <c r="C18" s="4">
        <v>1550958901.7095528</v>
      </c>
      <c r="D18">
        <v>2.9091147972241493E-2</v>
      </c>
      <c r="E18" s="9">
        <f t="shared" si="1"/>
        <v>0.30858081751149236</v>
      </c>
      <c r="F18" s="6">
        <f>0.8*E19+0.2*E18</f>
        <v>5.170522544891492</v>
      </c>
      <c r="G18" s="4">
        <v>3</v>
      </c>
      <c r="H18" s="4">
        <f t="shared" si="0"/>
        <v>2.9923234078740243E-3</v>
      </c>
      <c r="I18" s="7">
        <f>0.8*H19+0.2*H18</f>
        <v>5.0138812149083015E-2</v>
      </c>
      <c r="J18" s="6">
        <f t="shared" si="2"/>
        <v>19.944628864094238</v>
      </c>
      <c r="K18">
        <v>0</v>
      </c>
      <c r="L18" s="4">
        <f>0.9*H19*(1-K19)+0.1*H18*(1-K18)</f>
        <v>2.9923234078740245E-4</v>
      </c>
      <c r="M18" s="6">
        <f>1/L18</f>
        <v>3341.8847620835095</v>
      </c>
    </row>
    <row r="19" spans="1:13" x14ac:dyDescent="0.2">
      <c r="A19" s="1" t="s">
        <v>51</v>
      </c>
      <c r="B19">
        <v>1.5325495220174197E-5</v>
      </c>
      <c r="C19" s="4">
        <v>739926688.03710067</v>
      </c>
      <c r="D19">
        <v>2.9091147972241493E-2</v>
      </c>
      <c r="E19" s="9">
        <f>(C19*((PI()*B19^4)/(8*0.000000001002)))*998*0.4</f>
        <v>6.3860079767364919</v>
      </c>
      <c r="F19" s="6"/>
      <c r="G19" s="4">
        <v>3</v>
      </c>
      <c r="H19" s="4">
        <f t="shared" si="0"/>
        <v>6.1925434334385264E-2</v>
      </c>
      <c r="I19" s="4"/>
      <c r="K19">
        <v>1</v>
      </c>
      <c r="M19" s="6"/>
    </row>
    <row r="20" spans="1:13" x14ac:dyDescent="0.2">
      <c r="C20" s="4"/>
      <c r="D20" s="4"/>
    </row>
    <row r="21" spans="1:13" x14ac:dyDescent="0.2">
      <c r="C21" s="4"/>
    </row>
    <row r="22" spans="1:13" x14ac:dyDescent="0.2">
      <c r="B22" t="s">
        <v>59</v>
      </c>
      <c r="C22" t="s">
        <v>62</v>
      </c>
    </row>
    <row r="23" spans="1:13" x14ac:dyDescent="0.2">
      <c r="A23" t="s">
        <v>5</v>
      </c>
      <c r="B23">
        <v>329.47355533052382</v>
      </c>
      <c r="C23" s="6">
        <f>M2</f>
        <v>130751.57285116785</v>
      </c>
    </row>
    <row r="24" spans="1:13" x14ac:dyDescent="0.2">
      <c r="A24" t="s">
        <v>6</v>
      </c>
      <c r="B24">
        <v>15.980137328944974</v>
      </c>
      <c r="C24" s="6">
        <f>M4</f>
        <v>25217.156331391878</v>
      </c>
    </row>
    <row r="25" spans="1:13" x14ac:dyDescent="0.2">
      <c r="A25" t="s">
        <v>7</v>
      </c>
      <c r="B25">
        <v>27.750095871953938</v>
      </c>
      <c r="C25" s="6">
        <f>M6</f>
        <v>11454.468254962812</v>
      </c>
    </row>
    <row r="26" spans="1:13" x14ac:dyDescent="0.2">
      <c r="A26" t="s">
        <v>8</v>
      </c>
      <c r="B26">
        <v>324.58856942471942</v>
      </c>
      <c r="C26" s="6">
        <f>M8</f>
        <v>125143.63066141725</v>
      </c>
      <c r="K26" s="8"/>
    </row>
    <row r="27" spans="1:13" x14ac:dyDescent="0.2">
      <c r="A27" t="s">
        <v>9</v>
      </c>
      <c r="B27">
        <v>4.6555112340852203</v>
      </c>
      <c r="C27" s="6">
        <f>M10</f>
        <v>2600.5670522889282</v>
      </c>
    </row>
    <row r="28" spans="1:13" x14ac:dyDescent="0.2">
      <c r="A28" t="s">
        <v>1</v>
      </c>
      <c r="B28">
        <v>152.60090694067435</v>
      </c>
      <c r="C28" s="6">
        <f>M12</f>
        <v>153829.52685314353</v>
      </c>
      <c r="I28" s="4">
        <v>1.8</v>
      </c>
    </row>
    <row r="29" spans="1:13" x14ac:dyDescent="0.2">
      <c r="A29" t="s">
        <v>2</v>
      </c>
      <c r="B29">
        <v>180.29416298866764</v>
      </c>
      <c r="C29" s="6">
        <f>M14</f>
        <v>38051.053481419869</v>
      </c>
      <c r="I29" s="4">
        <v>1.8</v>
      </c>
    </row>
    <row r="30" spans="1:13" x14ac:dyDescent="0.2">
      <c r="A30" t="s">
        <v>3</v>
      </c>
      <c r="B30">
        <v>21.962099439999999</v>
      </c>
      <c r="C30" s="6">
        <f>M16</f>
        <v>21721.449604934769</v>
      </c>
      <c r="I30" s="4">
        <v>0.5</v>
      </c>
    </row>
    <row r="31" spans="1:13" x14ac:dyDescent="0.2">
      <c r="A31" t="s">
        <v>4</v>
      </c>
      <c r="B31">
        <v>14.341027141235186</v>
      </c>
      <c r="C31" s="6">
        <f>M18</f>
        <v>3341.8847620835095</v>
      </c>
      <c r="I31" s="4">
        <v>0.5</v>
      </c>
    </row>
    <row r="32" spans="1:13" x14ac:dyDescent="0.2">
      <c r="B32" s="6"/>
      <c r="I32" s="4">
        <v>0.5</v>
      </c>
    </row>
    <row r="33" spans="1:9" x14ac:dyDescent="0.2">
      <c r="I33" s="4">
        <v>0.5</v>
      </c>
    </row>
    <row r="34" spans="1:9" x14ac:dyDescent="0.2">
      <c r="B34" s="6"/>
      <c r="I34" s="4">
        <v>1.5</v>
      </c>
    </row>
    <row r="35" spans="1:9" x14ac:dyDescent="0.2">
      <c r="I35" s="4">
        <v>1.5</v>
      </c>
    </row>
    <row r="36" spans="1:9" x14ac:dyDescent="0.2">
      <c r="A36" t="s">
        <v>68</v>
      </c>
      <c r="B36" s="6"/>
      <c r="I36" s="4">
        <v>1.5</v>
      </c>
    </row>
    <row r="37" spans="1:9" x14ac:dyDescent="0.2">
      <c r="A37" t="s">
        <v>70</v>
      </c>
      <c r="B37" t="s">
        <v>65</v>
      </c>
      <c r="C37" t="s">
        <v>69</v>
      </c>
      <c r="D37" t="s">
        <v>66</v>
      </c>
      <c r="E37" t="s">
        <v>67</v>
      </c>
      <c r="I37" s="4">
        <v>1.5</v>
      </c>
    </row>
    <row r="38" spans="1:9" x14ac:dyDescent="0.2">
      <c r="A38">
        <v>3.9447078898953992E-6</v>
      </c>
      <c r="B38">
        <f>A38*2</f>
        <v>7.8894157797907984E-6</v>
      </c>
      <c r="C38">
        <f>A38*0.69</f>
        <v>2.7218484440278254E-6</v>
      </c>
      <c r="D38">
        <f t="shared" ref="D38:D55" si="3">(2*A38*C38)/((A38^2)+(C38^2))</f>
        <v>0.93489600975543652</v>
      </c>
      <c r="E38">
        <f t="shared" ref="E38:E55" si="4">E2*D38</f>
        <v>7.7151521585905991E-2</v>
      </c>
      <c r="I38" s="4">
        <v>2</v>
      </c>
    </row>
    <row r="39" spans="1:9" x14ac:dyDescent="0.2">
      <c r="A39">
        <v>9.5150918379784379E-6</v>
      </c>
      <c r="B39">
        <f t="shared" ref="B39:B55" si="5">A39*2</f>
        <v>1.9030183675956876E-5</v>
      </c>
      <c r="C39">
        <f>B39*0.79</f>
        <v>1.5033845104005932E-5</v>
      </c>
      <c r="D39">
        <f t="shared" si="3"/>
        <v>0.90378675208786186</v>
      </c>
      <c r="E39">
        <f t="shared" si="4"/>
        <v>1.8245130562135179</v>
      </c>
      <c r="I39" s="4">
        <v>2</v>
      </c>
    </row>
    <row r="40" spans="1:9" x14ac:dyDescent="0.2">
      <c r="A40">
        <v>2.8638652662134877E-6</v>
      </c>
      <c r="B40">
        <f t="shared" si="5"/>
        <v>5.7277305324269754E-6</v>
      </c>
      <c r="C40">
        <f>A40*0.69</f>
        <v>1.9760670336873064E-6</v>
      </c>
      <c r="D40">
        <f t="shared" si="3"/>
        <v>0.93489600975543652</v>
      </c>
      <c r="E40">
        <f t="shared" si="4"/>
        <v>3.6960293073892196E-2</v>
      </c>
      <c r="I40">
        <v>1</v>
      </c>
    </row>
    <row r="41" spans="1:9" x14ac:dyDescent="0.2">
      <c r="A41">
        <v>1.1855467471975715E-5</v>
      </c>
      <c r="B41">
        <f t="shared" si="5"/>
        <v>2.3710934943951429E-5</v>
      </c>
      <c r="C41">
        <f>B41*0.79</f>
        <v>1.8731638605721629E-5</v>
      </c>
      <c r="D41">
        <f t="shared" si="3"/>
        <v>0.90378675208786197</v>
      </c>
      <c r="E41">
        <f t="shared" si="4"/>
        <v>4.6766358271555477</v>
      </c>
      <c r="I41">
        <v>1</v>
      </c>
    </row>
    <row r="42" spans="1:9" x14ac:dyDescent="0.2">
      <c r="A42">
        <v>3.9737291970577394E-6</v>
      </c>
      <c r="B42">
        <f t="shared" si="5"/>
        <v>7.9474583941154787E-6</v>
      </c>
      <c r="C42">
        <f>A42*0.69</f>
        <v>2.7418731459698399E-6</v>
      </c>
      <c r="D42">
        <f t="shared" si="3"/>
        <v>0.93489600975543674</v>
      </c>
      <c r="E42">
        <f t="shared" si="4"/>
        <v>9.9807765432808421E-2</v>
      </c>
      <c r="I42">
        <v>0.85</v>
      </c>
    </row>
    <row r="43" spans="1:9" x14ac:dyDescent="0.2">
      <c r="A43">
        <v>1.1392050223224078E-5</v>
      </c>
      <c r="B43">
        <f t="shared" si="5"/>
        <v>2.2784100446448157E-5</v>
      </c>
      <c r="C43">
        <f>B43*0.79</f>
        <v>1.7999439352694046E-5</v>
      </c>
      <c r="D43">
        <f t="shared" si="3"/>
        <v>0.90378675208786174</v>
      </c>
      <c r="E43">
        <f t="shared" si="4"/>
        <v>3.4839066480937531</v>
      </c>
      <c r="I43">
        <v>0.85</v>
      </c>
    </row>
    <row r="44" spans="1:9" x14ac:dyDescent="0.2">
      <c r="A44">
        <v>3.4085647549750528E-6</v>
      </c>
      <c r="B44">
        <f t="shared" si="5"/>
        <v>6.8171295099501056E-6</v>
      </c>
      <c r="C44">
        <f>A44*0.69</f>
        <v>2.3519096809327864E-6</v>
      </c>
      <c r="D44">
        <f t="shared" si="3"/>
        <v>0.93489600975543652</v>
      </c>
      <c r="E44">
        <f t="shared" si="4"/>
        <v>5.3557674663578123E-2</v>
      </c>
      <c r="I44" s="4">
        <v>3</v>
      </c>
    </row>
    <row r="45" spans="1:9" x14ac:dyDescent="0.2">
      <c r="A45">
        <v>9.540610062163369E-6</v>
      </c>
      <c r="B45">
        <f t="shared" si="5"/>
        <v>1.9081220124326738E-5</v>
      </c>
      <c r="C45">
        <f>B45*0.79</f>
        <v>1.5074163898218124E-5</v>
      </c>
      <c r="D45">
        <f t="shared" si="3"/>
        <v>0.90378675208786174</v>
      </c>
      <c r="E45">
        <f t="shared" si="4"/>
        <v>1.5613440088953277</v>
      </c>
      <c r="I45" s="4">
        <v>3</v>
      </c>
    </row>
    <row r="46" spans="1:9" x14ac:dyDescent="0.2">
      <c r="A46">
        <v>5.5508204613628374E-6</v>
      </c>
      <c r="B46">
        <f t="shared" si="5"/>
        <v>1.1101640922725675E-5</v>
      </c>
      <c r="C46">
        <f>A46*0.69</f>
        <v>3.8300661183403574E-6</v>
      </c>
      <c r="D46">
        <f t="shared" si="3"/>
        <v>0.93489600975543663</v>
      </c>
      <c r="E46">
        <f t="shared" si="4"/>
        <v>0.26197674859714742</v>
      </c>
    </row>
    <row r="47" spans="1:9" x14ac:dyDescent="0.2">
      <c r="A47">
        <v>1.5379800820041051E-5</v>
      </c>
      <c r="B47">
        <f t="shared" si="5"/>
        <v>3.0759601640082102E-5</v>
      </c>
      <c r="C47">
        <f>B47*0.79</f>
        <v>2.4300085295664863E-5</v>
      </c>
      <c r="D47">
        <f t="shared" si="3"/>
        <v>0.90378675208786186</v>
      </c>
      <c r="E47">
        <f t="shared" si="4"/>
        <v>9.2864302878981562</v>
      </c>
    </row>
    <row r="48" spans="1:9" x14ac:dyDescent="0.2">
      <c r="A48">
        <v>3.0397148171416321E-6</v>
      </c>
      <c r="B48">
        <f t="shared" si="5"/>
        <v>6.0794296342832642E-6</v>
      </c>
      <c r="C48">
        <f>A48*0.69</f>
        <v>2.0974032238277261E-6</v>
      </c>
      <c r="D48">
        <f t="shared" si="3"/>
        <v>0.93489600975543674</v>
      </c>
      <c r="E48">
        <f t="shared" si="4"/>
        <v>3.7033208908440182E-2</v>
      </c>
    </row>
    <row r="49" spans="1:5" x14ac:dyDescent="0.2">
      <c r="A49">
        <v>1.0296078113928704E-5</v>
      </c>
      <c r="B49">
        <f t="shared" si="5"/>
        <v>2.0592156227857408E-5</v>
      </c>
      <c r="C49">
        <f>B49*0.79</f>
        <v>1.6267803420007354E-5</v>
      </c>
      <c r="D49">
        <f t="shared" si="3"/>
        <v>0.90378675208786163</v>
      </c>
      <c r="E49">
        <f t="shared" si="4"/>
        <v>3.0640139903114592</v>
      </c>
    </row>
    <row r="50" spans="1:5" x14ac:dyDescent="0.2">
      <c r="A50">
        <v>3.2873644458826822E-6</v>
      </c>
      <c r="B50">
        <f t="shared" si="5"/>
        <v>6.5747288917653644E-6</v>
      </c>
      <c r="C50">
        <f>A50*0.69</f>
        <v>2.2682814676590507E-6</v>
      </c>
      <c r="D50">
        <f t="shared" si="3"/>
        <v>0.93489600975543663</v>
      </c>
      <c r="E50">
        <f t="shared" si="4"/>
        <v>6.0637489408533411E-2</v>
      </c>
    </row>
    <row r="51" spans="1:5" x14ac:dyDescent="0.2">
      <c r="A51">
        <v>7.6126638685896075E-6</v>
      </c>
      <c r="B51">
        <f t="shared" si="5"/>
        <v>1.5225327737179215E-5</v>
      </c>
      <c r="C51">
        <f>B51*0.79</f>
        <v>1.2028008912371581E-5</v>
      </c>
      <c r="D51">
        <f t="shared" si="3"/>
        <v>0.90378675208786186</v>
      </c>
      <c r="E51">
        <f t="shared" si="4"/>
        <v>0.95003105636547447</v>
      </c>
    </row>
    <row r="52" spans="1:5" x14ac:dyDescent="0.2">
      <c r="A52">
        <v>3.7855601985837959E-6</v>
      </c>
      <c r="B52">
        <f t="shared" si="5"/>
        <v>7.5711203971675918E-6</v>
      </c>
      <c r="C52">
        <f>A52*0.69</f>
        <v>2.6120365370228191E-6</v>
      </c>
      <c r="D52">
        <f t="shared" si="3"/>
        <v>0.93489600975543663</v>
      </c>
      <c r="E52">
        <f t="shared" si="4"/>
        <v>0.10413690050380779</v>
      </c>
    </row>
    <row r="53" spans="1:5" x14ac:dyDescent="0.2">
      <c r="A53">
        <v>1.2865905899897505E-5</v>
      </c>
      <c r="B53">
        <f t="shared" si="5"/>
        <v>2.5731811799795011E-5</v>
      </c>
      <c r="C53">
        <f>B53*0.79</f>
        <v>2.032813132183806E-5</v>
      </c>
      <c r="D53">
        <f t="shared" si="3"/>
        <v>0.90378675208786174</v>
      </c>
      <c r="E53">
        <f t="shared" si="4"/>
        <v>7.8813956246545347</v>
      </c>
    </row>
    <row r="54" spans="1:5" x14ac:dyDescent="0.2">
      <c r="A54">
        <v>5.3741164633481407E-6</v>
      </c>
      <c r="B54">
        <f t="shared" si="5"/>
        <v>1.0748232926696281E-5</v>
      </c>
      <c r="C54">
        <f>A54*0.69</f>
        <v>3.7081403597102169E-6</v>
      </c>
      <c r="D54">
        <f t="shared" si="3"/>
        <v>0.93489600975543663</v>
      </c>
      <c r="E54">
        <f t="shared" si="4"/>
        <v>0.28849097497856474</v>
      </c>
    </row>
    <row r="55" spans="1:5" x14ac:dyDescent="0.2">
      <c r="A55">
        <v>1.4451200535072439E-5</v>
      </c>
      <c r="B55">
        <f t="shared" si="5"/>
        <v>2.8902401070144878E-5</v>
      </c>
      <c r="C55">
        <f>B55*0.79</f>
        <v>2.2832896845414456E-5</v>
      </c>
      <c r="D55">
        <f t="shared" si="3"/>
        <v>0.90378675208786186</v>
      </c>
      <c r="E55">
        <f t="shared" si="4"/>
        <v>5.7715894081018524</v>
      </c>
    </row>
  </sheetData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3588A-68FA-0F45-9ECD-9A758C281430}">
  <dimension ref="A1:O70"/>
  <sheetViews>
    <sheetView topLeftCell="A35" zoomScale="78" workbookViewId="0">
      <selection activeCell="F21" sqref="F21"/>
    </sheetView>
  </sheetViews>
  <sheetFormatPr baseColWidth="10" defaultRowHeight="16" x14ac:dyDescent="0.2"/>
  <cols>
    <col min="2" max="2" width="19.33203125" customWidth="1"/>
    <col min="3" max="3" width="29.5" customWidth="1"/>
    <col min="4" max="4" width="34.1640625" customWidth="1"/>
    <col min="5" max="5" width="24.6640625" customWidth="1"/>
    <col min="6" max="6" width="28" customWidth="1"/>
    <col min="7" max="7" width="20" customWidth="1"/>
    <col min="8" max="8" width="22" customWidth="1"/>
    <col min="9" max="9" width="21.5" customWidth="1"/>
    <col min="10" max="10" width="19.5" customWidth="1"/>
    <col min="11" max="11" width="11.33203125" customWidth="1"/>
    <col min="12" max="12" width="19.5" customWidth="1"/>
    <col min="13" max="13" width="26.5" customWidth="1"/>
    <col min="14" max="14" width="14.33203125" customWidth="1"/>
  </cols>
  <sheetData>
    <row r="1" spans="1:15" x14ac:dyDescent="0.2">
      <c r="B1" t="s">
        <v>52</v>
      </c>
      <c r="C1" t="s">
        <v>55</v>
      </c>
      <c r="D1" t="s">
        <v>54</v>
      </c>
      <c r="E1" t="s">
        <v>53</v>
      </c>
      <c r="F1" t="s">
        <v>106</v>
      </c>
      <c r="G1" t="s">
        <v>57</v>
      </c>
      <c r="H1" t="s">
        <v>56</v>
      </c>
      <c r="I1" t="s">
        <v>58</v>
      </c>
      <c r="J1" t="s">
        <v>59</v>
      </c>
      <c r="K1" t="s">
        <v>61</v>
      </c>
      <c r="L1" t="s">
        <v>60</v>
      </c>
      <c r="M1" t="s">
        <v>62</v>
      </c>
      <c r="N1" t="s">
        <v>114</v>
      </c>
    </row>
    <row r="2" spans="1:15" x14ac:dyDescent="0.2">
      <c r="A2" t="s">
        <v>35</v>
      </c>
      <c r="B2">
        <v>4.0580484027503229E-6</v>
      </c>
      <c r="C2" s="4">
        <v>1945044766.9033651</v>
      </c>
      <c r="D2">
        <v>1.6681856990561855E-3</v>
      </c>
      <c r="E2" s="9">
        <f>(C2*((PI()*B2^4)/(8*0.000000001002)))*998*0.4</f>
        <v>8.2524174647069459E-2</v>
      </c>
      <c r="F2" s="8">
        <f>0.9*E3+0.1*E2</f>
        <v>1.8251209949237097</v>
      </c>
      <c r="G2" s="4">
        <v>1.8</v>
      </c>
      <c r="H2" s="4">
        <f>(E2*D2)/G2</f>
        <v>7.6480915540364617E-5</v>
      </c>
      <c r="I2" s="7">
        <f>0.9*H3+0.1*H2</f>
        <v>1.6914670793216277E-3</v>
      </c>
      <c r="J2" s="6">
        <f>1/I2</f>
        <v>591.20275660408095</v>
      </c>
      <c r="K2">
        <v>0</v>
      </c>
      <c r="L2" s="4">
        <f>0.9*(H3/2)*(1-K3)+0.1*(H2/2)*(1-K2)</f>
        <v>3.8240457770182312E-6</v>
      </c>
      <c r="M2" s="6">
        <f>1/L2</f>
        <v>261503.14570233569</v>
      </c>
      <c r="N2" t="s">
        <v>112</v>
      </c>
      <c r="O2" t="s">
        <v>35</v>
      </c>
    </row>
    <row r="3" spans="1:15" x14ac:dyDescent="0.2">
      <c r="A3" t="s">
        <v>34</v>
      </c>
      <c r="B3">
        <v>9.9828697792239931E-6</v>
      </c>
      <c r="C3" s="4">
        <v>1299202009.309938</v>
      </c>
      <c r="D3">
        <v>1.6681856990561855E-3</v>
      </c>
      <c r="E3" s="9">
        <f t="shared" ref="E3:E19" si="0">(C3*((PI()*B3^4)/(8*0.000000001002)))*998*0.4</f>
        <v>2.0187428638433365</v>
      </c>
      <c r="F3" s="6"/>
      <c r="G3" s="4">
        <v>1.8</v>
      </c>
      <c r="H3" s="4">
        <f t="shared" ref="H3:H19" si="1">(E3*D3)/G3</f>
        <v>1.8709099864084346E-3</v>
      </c>
      <c r="I3" s="7"/>
      <c r="J3" s="6"/>
      <c r="K3">
        <v>1</v>
      </c>
      <c r="L3" s="4">
        <f>0.9*(H4/2)*(1-K4)+0.1*(H3/2)*(1-K3)</f>
        <v>1.7844993863951747E-4</v>
      </c>
      <c r="M3" s="6"/>
      <c r="O3" t="s">
        <v>34</v>
      </c>
    </row>
    <row r="4" spans="1:15" x14ac:dyDescent="0.2">
      <c r="A4" t="s">
        <v>36</v>
      </c>
      <c r="B4">
        <v>3.3924620126130608E-6</v>
      </c>
      <c r="C4" s="4">
        <v>1907785001.1622787</v>
      </c>
      <c r="D4">
        <v>5.0153563219152587E-3</v>
      </c>
      <c r="E4" s="9">
        <f t="shared" si="0"/>
        <v>3.9534122178530633E-2</v>
      </c>
      <c r="F4" s="6">
        <f>0.9*E5+0.1*E4</f>
        <v>3.2798308128432523</v>
      </c>
      <c r="G4" s="4">
        <v>0.5</v>
      </c>
      <c r="H4" s="4">
        <f t="shared" si="1"/>
        <v>3.9655541919892767E-4</v>
      </c>
      <c r="I4" s="7">
        <f>0.9*H5+0.1*H4</f>
        <v>3.2899040404011731E-2</v>
      </c>
      <c r="J4" s="6">
        <f t="shared" ref="J4:J18" si="2">1/I4</f>
        <v>30.39602334048805</v>
      </c>
      <c r="K4">
        <v>0</v>
      </c>
      <c r="L4" s="4">
        <f t="shared" ref="L4:L19" si="3">0.9*(H5/2)*(1-K5)+0.1*(H4/2)*(1-K4)</f>
        <v>1.9827770959946384E-5</v>
      </c>
      <c r="M4" s="6">
        <f>1/L4</f>
        <v>50434.312662783756</v>
      </c>
      <c r="N4" t="s">
        <v>111</v>
      </c>
      <c r="O4" t="s">
        <v>36</v>
      </c>
    </row>
    <row r="5" spans="1:15" x14ac:dyDescent="0.2">
      <c r="A5" t="s">
        <v>37</v>
      </c>
      <c r="B5">
        <v>1.3189571635939085E-5</v>
      </c>
      <c r="C5" s="4">
        <v>768740337.05044603</v>
      </c>
      <c r="D5">
        <v>5.0153563219152587E-3</v>
      </c>
      <c r="E5" s="9">
        <f t="shared" si="0"/>
        <v>3.6398637784726655</v>
      </c>
      <c r="F5" s="6"/>
      <c r="G5" s="4">
        <v>0.5</v>
      </c>
      <c r="H5" s="4">
        <f t="shared" si="1"/>
        <v>3.6510427624546489E-2</v>
      </c>
      <c r="I5" s="7"/>
      <c r="J5" s="6"/>
      <c r="K5">
        <v>1</v>
      </c>
      <c r="L5" s="4">
        <f t="shared" si="3"/>
        <v>3.9285979059309979E-4</v>
      </c>
      <c r="M5" s="6"/>
      <c r="O5" t="s">
        <v>37</v>
      </c>
    </row>
    <row r="6" spans="1:15" x14ac:dyDescent="0.2">
      <c r="A6" s="1" t="s">
        <v>40</v>
      </c>
      <c r="B6">
        <v>4.3618091347456082E-6</v>
      </c>
      <c r="C6" s="4">
        <v>1885175116.9630623</v>
      </c>
      <c r="D6">
        <v>4.0887828386471153E-3</v>
      </c>
      <c r="E6" s="9">
        <f t="shared" si="0"/>
        <v>0.10675814677925254</v>
      </c>
      <c r="F6" s="6">
        <f>0.9*E7+0.1*E6</f>
        <v>3.4799853349170071</v>
      </c>
      <c r="G6" s="4">
        <v>0.5</v>
      </c>
      <c r="H6" s="4">
        <f t="shared" si="1"/>
        <v>8.7302175687355512E-4</v>
      </c>
      <c r="I6" s="7">
        <f>0.9*H7+0.1*H6</f>
        <v>2.8457808632304588E-2</v>
      </c>
      <c r="J6" s="6">
        <f t="shared" si="2"/>
        <v>35.139740129702929</v>
      </c>
      <c r="K6">
        <v>0</v>
      </c>
      <c r="L6" s="4">
        <f t="shared" si="3"/>
        <v>4.3651087843677759E-5</v>
      </c>
      <c r="M6" s="6">
        <f>1/L6</f>
        <v>22908.936509925625</v>
      </c>
      <c r="N6">
        <v>150000</v>
      </c>
      <c r="O6" s="1" t="s">
        <v>40</v>
      </c>
    </row>
    <row r="7" spans="1:15" x14ac:dyDescent="0.2">
      <c r="A7" s="1" t="s">
        <v>41</v>
      </c>
      <c r="B7">
        <v>1.2859088208828339E-5</v>
      </c>
      <c r="C7" s="4">
        <v>901108611.14501977</v>
      </c>
      <c r="D7">
        <v>4.0887828386471153E-3</v>
      </c>
      <c r="E7" s="9">
        <f t="shared" si="0"/>
        <v>3.8547883558212024</v>
      </c>
      <c r="F7" s="6"/>
      <c r="G7" s="4">
        <v>0.5</v>
      </c>
      <c r="H7" s="4">
        <f t="shared" si="1"/>
        <v>3.1522784951796924E-2</v>
      </c>
      <c r="I7" s="7"/>
      <c r="J7" s="6"/>
      <c r="K7">
        <v>1</v>
      </c>
      <c r="L7" s="4">
        <f t="shared" si="3"/>
        <v>3.5958681845942199E-5</v>
      </c>
      <c r="M7" s="6"/>
      <c r="O7" s="1" t="s">
        <v>41</v>
      </c>
    </row>
    <row r="8" spans="1:15" x14ac:dyDescent="0.2">
      <c r="A8" s="1" t="s">
        <v>38</v>
      </c>
      <c r="B8">
        <v>3.715307102569821E-6</v>
      </c>
      <c r="C8" s="4">
        <v>1921749773.7200744</v>
      </c>
      <c r="D8">
        <v>2.0923007072908058E-3</v>
      </c>
      <c r="E8" s="9">
        <f t="shared" si="0"/>
        <v>5.7287306935440346E-2</v>
      </c>
      <c r="F8" s="6">
        <f>0.9*E9+0.1*E8</f>
        <v>1.5605309058300825</v>
      </c>
      <c r="G8" s="4">
        <v>1.5</v>
      </c>
      <c r="H8" s="4">
        <f t="shared" si="1"/>
        <v>7.990818187987155E-5</v>
      </c>
      <c r="I8" s="7">
        <f>0.9*H9+0.1*H8</f>
        <v>2.1767332786782959E-3</v>
      </c>
      <c r="J8" s="6">
        <f t="shared" si="2"/>
        <v>459.40401141254944</v>
      </c>
      <c r="K8">
        <v>0</v>
      </c>
      <c r="L8" s="4">
        <f t="shared" si="3"/>
        <v>3.9954090939935779E-6</v>
      </c>
      <c r="M8" s="6">
        <f>1/L8</f>
        <v>250287.2613228345</v>
      </c>
      <c r="N8">
        <v>150000</v>
      </c>
      <c r="O8" s="1" t="s">
        <v>38</v>
      </c>
    </row>
    <row r="9" spans="1:15" x14ac:dyDescent="0.2">
      <c r="A9" s="1" t="s">
        <v>39</v>
      </c>
      <c r="B9">
        <v>1.0176061550091367E-5</v>
      </c>
      <c r="C9" s="4">
        <v>1029748179.181354</v>
      </c>
      <c r="D9">
        <v>2.0923007072908058E-3</v>
      </c>
      <c r="E9" s="9">
        <f t="shared" si="0"/>
        <v>1.7275579723739316</v>
      </c>
      <c r="F9" s="6"/>
      <c r="G9" s="4">
        <v>1.5</v>
      </c>
      <c r="H9" s="4">
        <f t="shared" si="1"/>
        <v>2.4097138449892318E-3</v>
      </c>
      <c r="I9" s="7"/>
      <c r="J9" s="6"/>
      <c r="K9">
        <v>1</v>
      </c>
      <c r="L9" s="4">
        <f t="shared" si="3"/>
        <v>1.7303918374414755E-3</v>
      </c>
      <c r="M9" s="6"/>
      <c r="O9" s="1" t="s">
        <v>39</v>
      </c>
    </row>
    <row r="10" spans="1:15" x14ac:dyDescent="0.2">
      <c r="A10" s="1" t="s">
        <v>42</v>
      </c>
      <c r="B10">
        <v>5.9776164688358227E-6</v>
      </c>
      <c r="C10" s="4">
        <v>1402828427.1260099</v>
      </c>
      <c r="D10">
        <v>2.0583715066320309E-2</v>
      </c>
      <c r="E10" s="9">
        <f t="shared" si="0"/>
        <v>0.2802202018871372</v>
      </c>
      <c r="F10" s="6">
        <f>0.9*E11+0.1*E10</f>
        <v>8.2110686149059831</v>
      </c>
      <c r="G10" s="4">
        <v>1.5</v>
      </c>
      <c r="H10" s="4">
        <f t="shared" si="1"/>
        <v>3.8453151943143899E-3</v>
      </c>
      <c r="I10" s="7">
        <f>0.9*H11+0.1*H10</f>
        <v>0.11267619783948675</v>
      </c>
      <c r="J10" s="6">
        <f t="shared" si="2"/>
        <v>8.8749888545631723</v>
      </c>
      <c r="K10">
        <v>0</v>
      </c>
      <c r="L10" s="4">
        <f t="shared" si="3"/>
        <v>1.9226575971571951E-4</v>
      </c>
      <c r="M10" s="6">
        <f>1/L10</f>
        <v>5201.1341045778563</v>
      </c>
      <c r="N10" t="s">
        <v>113</v>
      </c>
      <c r="O10" s="1" t="s">
        <v>42</v>
      </c>
    </row>
    <row r="11" spans="1:15" x14ac:dyDescent="0.2">
      <c r="A11" s="1" t="s">
        <v>43</v>
      </c>
      <c r="B11">
        <v>1.6581642098592659E-5</v>
      </c>
      <c r="C11" s="4">
        <v>768740337.05044603</v>
      </c>
      <c r="D11">
        <v>2.0583715066320309E-2</v>
      </c>
      <c r="E11" s="9">
        <f t="shared" si="0"/>
        <v>9.0922739941303004</v>
      </c>
      <c r="F11" s="6"/>
      <c r="G11" s="4">
        <v>1.5</v>
      </c>
      <c r="H11" s="4">
        <f t="shared" si="1"/>
        <v>0.12476851813339479</v>
      </c>
      <c r="I11" s="7"/>
      <c r="J11" s="6"/>
      <c r="K11">
        <v>1</v>
      </c>
      <c r="L11" s="4">
        <f t="shared" si="3"/>
        <v>2.9253161548731904E-5</v>
      </c>
      <c r="M11" s="6"/>
      <c r="O11" s="1" t="s">
        <v>43</v>
      </c>
    </row>
    <row r="12" spans="1:15" x14ac:dyDescent="0.2">
      <c r="A12" t="s">
        <v>44</v>
      </c>
      <c r="B12">
        <v>3.2418779485204275E-6</v>
      </c>
      <c r="C12" s="4">
        <v>2292232684.6603961</v>
      </c>
      <c r="D12">
        <v>3.2821789248379334E-3</v>
      </c>
      <c r="E12" s="9">
        <f t="shared" si="0"/>
        <v>3.961211570271634E-2</v>
      </c>
      <c r="F12" s="6">
        <f>0.8*E13+0.2*E12</f>
        <v>2.7200790094000342</v>
      </c>
      <c r="G12" s="4">
        <v>2</v>
      </c>
      <c r="H12" s="4">
        <f t="shared" si="1"/>
        <v>6.5007025663848674E-5</v>
      </c>
      <c r="I12" s="7">
        <f>0.8*H13+0.2*H12</f>
        <v>4.4638929992734172E-3</v>
      </c>
      <c r="J12" s="6">
        <f t="shared" si="2"/>
        <v>224.01970660201059</v>
      </c>
      <c r="K12">
        <v>0</v>
      </c>
      <c r="L12" s="4">
        <f t="shared" si="3"/>
        <v>3.2503512831924338E-6</v>
      </c>
      <c r="M12" s="6">
        <f>1/L12</f>
        <v>307659.05370628706</v>
      </c>
      <c r="N12" t="s">
        <v>110</v>
      </c>
      <c r="O12" t="s">
        <v>44</v>
      </c>
    </row>
    <row r="13" spans="1:15" x14ac:dyDescent="0.2">
      <c r="A13" t="s">
        <v>45</v>
      </c>
      <c r="B13">
        <v>1.0957030928930609E-5</v>
      </c>
      <c r="C13" s="4">
        <v>1503386083.965745</v>
      </c>
      <c r="D13">
        <v>3.2821789248379334E-3</v>
      </c>
      <c r="E13" s="9">
        <f t="shared" si="0"/>
        <v>3.3901957328243633</v>
      </c>
      <c r="F13" s="6"/>
      <c r="G13" s="4">
        <v>2</v>
      </c>
      <c r="H13" s="4">
        <f t="shared" si="1"/>
        <v>5.5636144926758096E-3</v>
      </c>
      <c r="I13" s="7"/>
      <c r="J13" s="6"/>
      <c r="K13">
        <v>1</v>
      </c>
      <c r="L13" s="4">
        <f t="shared" si="3"/>
        <v>1.1826216591341751E-4</v>
      </c>
      <c r="M13" s="6"/>
      <c r="O13" t="s">
        <v>45</v>
      </c>
    </row>
    <row r="14" spans="1:15" x14ac:dyDescent="0.2">
      <c r="A14" t="s">
        <v>46</v>
      </c>
      <c r="B14">
        <v>3.6671960402346305E-6</v>
      </c>
      <c r="C14" s="5">
        <v>2292232684.6603961</v>
      </c>
      <c r="D14">
        <v>4.0518691249674379E-3</v>
      </c>
      <c r="E14" s="9">
        <f t="shared" si="0"/>
        <v>6.4860143562272585E-2</v>
      </c>
      <c r="F14" s="6">
        <f>0.8*E15+0.2*E14</f>
        <v>0.85390584782036461</v>
      </c>
      <c r="G14">
        <v>1</v>
      </c>
      <c r="H14" s="4">
        <f t="shared" si="1"/>
        <v>2.628048131409278E-4</v>
      </c>
      <c r="I14" s="7">
        <f>0.8*H15+0.2*H14</f>
        <v>3.4599147404124793E-3</v>
      </c>
      <c r="J14" s="6">
        <f t="shared" si="2"/>
        <v>289.02446303656126</v>
      </c>
      <c r="K14">
        <v>0</v>
      </c>
      <c r="L14" s="4">
        <f t="shared" si="3"/>
        <v>1.3140240657046391E-5</v>
      </c>
      <c r="M14" s="6">
        <f>1/L14</f>
        <v>76102.106962839738</v>
      </c>
      <c r="N14" t="s">
        <v>108</v>
      </c>
      <c r="O14" t="s">
        <v>46</v>
      </c>
    </row>
    <row r="15" spans="1:15" x14ac:dyDescent="0.2">
      <c r="A15" t="s">
        <v>47</v>
      </c>
      <c r="B15">
        <v>8.1762592261227208E-6</v>
      </c>
      <c r="C15" s="5">
        <v>1503386083.965745</v>
      </c>
      <c r="D15">
        <v>4.0518691249674379E-3</v>
      </c>
      <c r="E15" s="9">
        <f t="shared" si="0"/>
        <v>1.0511672738848876</v>
      </c>
      <c r="F15" s="6"/>
      <c r="G15">
        <v>1</v>
      </c>
      <c r="H15" s="4">
        <f t="shared" si="1"/>
        <v>4.2591922222303671E-3</v>
      </c>
      <c r="I15" s="7"/>
      <c r="J15" s="6"/>
      <c r="K15">
        <v>1</v>
      </c>
      <c r="L15" s="4">
        <f t="shared" si="3"/>
        <v>2.071684939009628E-4</v>
      </c>
      <c r="M15" s="6"/>
      <c r="O15" t="s">
        <v>47</v>
      </c>
    </row>
    <row r="16" spans="1:15" x14ac:dyDescent="0.2">
      <c r="A16" s="1" t="s">
        <v>48</v>
      </c>
      <c r="B16">
        <v>4.198072996809769E-6</v>
      </c>
      <c r="C16" s="5">
        <v>2292232684.6603961</v>
      </c>
      <c r="D16">
        <v>3.5130859848767782E-3</v>
      </c>
      <c r="E16" s="9">
        <f t="shared" si="0"/>
        <v>0.11138875277802224</v>
      </c>
      <c r="F16" s="6">
        <f>0.8*E17+0.2*E16</f>
        <v>6.9986098168953808</v>
      </c>
      <c r="G16">
        <v>0.85</v>
      </c>
      <c r="H16" s="4">
        <f t="shared" si="1"/>
        <v>4.6037443089102847E-4</v>
      </c>
      <c r="I16" s="7">
        <f>0.8*H17+0.2*H16</f>
        <v>2.8925550660419054E-2</v>
      </c>
      <c r="J16" s="6">
        <f t="shared" si="2"/>
        <v>34.571511247610339</v>
      </c>
      <c r="K16">
        <v>0</v>
      </c>
      <c r="L16" s="4">
        <f t="shared" si="3"/>
        <v>2.3018721544551425E-5</v>
      </c>
      <c r="M16" s="6">
        <f>1/L16</f>
        <v>43442.899209869538</v>
      </c>
      <c r="N16">
        <v>20000</v>
      </c>
      <c r="O16" s="1" t="s">
        <v>48</v>
      </c>
    </row>
    <row r="17" spans="1:15" x14ac:dyDescent="0.2">
      <c r="A17" s="1" t="s">
        <v>49</v>
      </c>
      <c r="B17">
        <v>1.3876213831805063E-5</v>
      </c>
      <c r="C17" s="5">
        <v>1503386083.965745</v>
      </c>
      <c r="D17">
        <v>3.5130859848767782E-3</v>
      </c>
      <c r="E17" s="9">
        <f t="shared" si="0"/>
        <v>8.7204150829247205</v>
      </c>
      <c r="F17" s="6"/>
      <c r="G17">
        <v>0.85</v>
      </c>
      <c r="H17" s="4">
        <f t="shared" si="1"/>
        <v>3.6041844717801058E-2</v>
      </c>
      <c r="I17" s="7"/>
      <c r="J17" s="6"/>
      <c r="K17">
        <v>1</v>
      </c>
      <c r="L17" s="4">
        <f t="shared" si="3"/>
        <v>1.3465455335433111E-3</v>
      </c>
      <c r="M17" s="6"/>
      <c r="O17" s="1" t="s">
        <v>49</v>
      </c>
    </row>
    <row r="18" spans="1:15" x14ac:dyDescent="0.2">
      <c r="A18" s="1" t="s">
        <v>50</v>
      </c>
      <c r="B18">
        <v>5.9716794117854171E-6</v>
      </c>
      <c r="C18" s="4">
        <v>1550958901.7095528</v>
      </c>
      <c r="D18">
        <v>2.9091147972241493E-2</v>
      </c>
      <c r="E18" s="9">
        <f t="shared" si="0"/>
        <v>0.30858081751149236</v>
      </c>
      <c r="F18" s="6">
        <f>0.8*E19+0.2*E18</f>
        <v>5.170522544891492</v>
      </c>
      <c r="G18" s="4">
        <v>3</v>
      </c>
      <c r="H18" s="4">
        <f t="shared" si="1"/>
        <v>2.9923234078740243E-3</v>
      </c>
      <c r="I18" s="7">
        <f>0.8*H19+0.2*H18</f>
        <v>5.0138812149083015E-2</v>
      </c>
      <c r="J18" s="6">
        <f t="shared" si="2"/>
        <v>19.944628864094238</v>
      </c>
      <c r="K18">
        <v>0</v>
      </c>
      <c r="L18" s="4">
        <f t="shared" si="3"/>
        <v>1.4961617039370122E-4</v>
      </c>
      <c r="M18" s="6">
        <f>1/L18</f>
        <v>6683.769524167019</v>
      </c>
      <c r="N18" t="s">
        <v>109</v>
      </c>
      <c r="O18" s="1" t="s">
        <v>50</v>
      </c>
    </row>
    <row r="19" spans="1:15" x14ac:dyDescent="0.2">
      <c r="A19" s="1" t="s">
        <v>51</v>
      </c>
      <c r="B19">
        <v>1.5325495220174197E-5</v>
      </c>
      <c r="C19" s="4">
        <v>739926688.03710067</v>
      </c>
      <c r="D19">
        <v>2.9091147972241493E-2</v>
      </c>
      <c r="E19" s="9">
        <f t="shared" si="0"/>
        <v>6.3860079767364919</v>
      </c>
      <c r="F19" s="6"/>
      <c r="G19" s="4">
        <v>3</v>
      </c>
      <c r="H19" s="4">
        <f t="shared" si="1"/>
        <v>6.1925434334385264E-2</v>
      </c>
      <c r="I19" s="4"/>
      <c r="K19">
        <v>1</v>
      </c>
      <c r="L19" s="4">
        <f t="shared" si="3"/>
        <v>0</v>
      </c>
      <c r="M19" s="6"/>
      <c r="O19" s="1" t="s">
        <v>51</v>
      </c>
    </row>
    <row r="20" spans="1:15" x14ac:dyDescent="0.2">
      <c r="C20" s="4"/>
      <c r="D20" s="4"/>
      <c r="L20" t="s">
        <v>107</v>
      </c>
    </row>
    <row r="21" spans="1:15" x14ac:dyDescent="0.2">
      <c r="C21" s="4"/>
      <c r="E21">
        <v>1092853935.7065301</v>
      </c>
    </row>
    <row r="22" spans="1:15" x14ac:dyDescent="0.2">
      <c r="M22">
        <f>1/M18</f>
        <v>1.4961617039370122E-4</v>
      </c>
    </row>
    <row r="23" spans="1:15" x14ac:dyDescent="0.2">
      <c r="B23" s="1" t="s">
        <v>96</v>
      </c>
      <c r="C23" t="s">
        <v>55</v>
      </c>
      <c r="D23" t="s">
        <v>53</v>
      </c>
      <c r="E23" t="s">
        <v>106</v>
      </c>
      <c r="F23" t="s">
        <v>54</v>
      </c>
      <c r="G23" t="s">
        <v>57</v>
      </c>
      <c r="H23" t="s">
        <v>56</v>
      </c>
      <c r="I23" t="s">
        <v>58</v>
      </c>
      <c r="J23" t="s">
        <v>59</v>
      </c>
      <c r="L23" t="s">
        <v>117</v>
      </c>
    </row>
    <row r="24" spans="1:15" x14ac:dyDescent="0.2">
      <c r="A24" t="s">
        <v>35</v>
      </c>
      <c r="B24" s="1">
        <v>8.1161000000000001E-6</v>
      </c>
      <c r="C24" s="4">
        <v>1945044766.9033651</v>
      </c>
      <c r="D24" s="9">
        <f>(C24*((PI()*B24^4)/(128*0.000000001002)))*998</f>
        <v>0.20631076143338808</v>
      </c>
      <c r="E24" s="8">
        <f>0.9*D25+0.1*D24</f>
        <v>4.5627665219820477</v>
      </c>
      <c r="F24">
        <v>1.6681856990561855E-3</v>
      </c>
      <c r="G24" s="4">
        <v>1.8</v>
      </c>
      <c r="H24" s="4">
        <f>(D24*F24)/G24</f>
        <v>1.9120258988031692E-4</v>
      </c>
      <c r="I24" s="7">
        <f>0.9*H25+0.1*H24</f>
        <v>4.2286343667237679E-3</v>
      </c>
      <c r="J24" s="6">
        <f>1/I24</f>
        <v>236.48296666868671</v>
      </c>
      <c r="K24">
        <f>I24/2</f>
        <v>2.1143171833618839E-3</v>
      </c>
      <c r="L24" s="7">
        <f>F24*G24</f>
        <v>3.0027342583011339E-3</v>
      </c>
      <c r="N24" s="4"/>
    </row>
    <row r="25" spans="1:15" x14ac:dyDescent="0.2">
      <c r="A25" t="s">
        <v>34</v>
      </c>
      <c r="B25" s="1">
        <v>1.9965700000000001E-5</v>
      </c>
      <c r="C25" s="4">
        <v>1299202009.309938</v>
      </c>
      <c r="D25" s="9">
        <f t="shared" ref="D25:D41" si="4">(C25*((PI()*B25^4)/(128*0.000000001002)))*998</f>
        <v>5.04681716204301</v>
      </c>
      <c r="E25" s="6"/>
      <c r="F25">
        <v>1.6681856990561855E-3</v>
      </c>
      <c r="G25" s="4">
        <v>1.8</v>
      </c>
      <c r="H25" s="4">
        <f t="shared" ref="H25:H41" si="5">(D25*F25)/G25</f>
        <v>4.6772378974841511E-3</v>
      </c>
      <c r="I25" s="7"/>
      <c r="J25" s="6"/>
      <c r="L25" s="7">
        <f t="shared" ref="L25:L41" si="6">F25*G25</f>
        <v>3.0027342583011339E-3</v>
      </c>
      <c r="N25" s="4"/>
    </row>
    <row r="26" spans="1:15" x14ac:dyDescent="0.2">
      <c r="A26" t="s">
        <v>36</v>
      </c>
      <c r="B26" s="1">
        <v>6.7849199999999997E-6</v>
      </c>
      <c r="C26" s="4">
        <v>1907785001.1622787</v>
      </c>
      <c r="D26" s="9">
        <f t="shared" si="4"/>
        <v>9.8835070906280006E-2</v>
      </c>
      <c r="E26" s="6">
        <f>0.9*D27+0.1*D26</f>
        <v>11.652410401547346</v>
      </c>
      <c r="F26">
        <v>5.0153563219152587E-3</v>
      </c>
      <c r="G26" s="4">
        <v>0.5</v>
      </c>
      <c r="H26" s="4">
        <f t="shared" si="5"/>
        <v>9.9138619539350858E-4</v>
      </c>
      <c r="I26" s="7">
        <f>0.9*H27+0.1*H26</f>
        <v>0.11688198034590321</v>
      </c>
      <c r="J26" s="6">
        <f t="shared" ref="J26:J40" si="7">1/I26</f>
        <v>8.5556387480822718</v>
      </c>
      <c r="K26" s="8"/>
      <c r="L26" s="7">
        <f t="shared" si="6"/>
        <v>2.5076781609576293E-3</v>
      </c>
      <c r="N26" s="4"/>
    </row>
    <row r="27" spans="1:15" x14ac:dyDescent="0.2">
      <c r="A27" t="s">
        <v>37</v>
      </c>
      <c r="B27" s="1">
        <v>2.63791E-5</v>
      </c>
      <c r="C27" s="4">
        <v>1092853935.7065306</v>
      </c>
      <c r="D27" s="9">
        <f t="shared" si="4"/>
        <v>12.936140993840798</v>
      </c>
      <c r="E27" s="6"/>
      <c r="F27">
        <v>5.0153563219152587E-3</v>
      </c>
      <c r="G27" s="4">
        <v>0.5</v>
      </c>
      <c r="H27" s="4">
        <f t="shared" si="5"/>
        <v>0.12975871302929318</v>
      </c>
      <c r="I27" s="7"/>
      <c r="J27" s="6"/>
      <c r="L27" s="7">
        <f t="shared" si="6"/>
        <v>2.5076781609576293E-3</v>
      </c>
      <c r="N27" s="4"/>
    </row>
    <row r="28" spans="1:15" x14ac:dyDescent="0.2">
      <c r="A28" s="1" t="s">
        <v>40</v>
      </c>
      <c r="B28" s="1">
        <v>8.7236200000000003E-6</v>
      </c>
      <c r="C28" s="4">
        <v>1885175116.9630623</v>
      </c>
      <c r="D28" s="9">
        <f t="shared" si="4"/>
        <v>0.26689557872489644</v>
      </c>
      <c r="E28" s="6">
        <f>0.9*D29+0.1*D28</f>
        <v>8.6999951704304959</v>
      </c>
      <c r="F28">
        <v>4.0887828386471153E-3</v>
      </c>
      <c r="G28" s="4">
        <v>0.5</v>
      </c>
      <c r="H28" s="4">
        <f t="shared" si="5"/>
        <v>2.1825561240022932E-3</v>
      </c>
      <c r="I28" s="7">
        <f>0.9*H29+0.1*H28</f>
        <v>7.1144781898338005E-2</v>
      </c>
      <c r="J28" s="6">
        <f t="shared" si="7"/>
        <v>14.055844621590733</v>
      </c>
      <c r="L28" s="7">
        <f t="shared" si="6"/>
        <v>2.0443914193235577E-3</v>
      </c>
      <c r="N28" s="4"/>
    </row>
    <row r="29" spans="1:15" x14ac:dyDescent="0.2">
      <c r="A29" s="1" t="s">
        <v>41</v>
      </c>
      <c r="B29" s="1">
        <v>2.5718200000000001E-5</v>
      </c>
      <c r="C29" s="4">
        <v>901108611.14501977</v>
      </c>
      <c r="D29" s="9">
        <f t="shared" si="4"/>
        <v>9.637006236175564</v>
      </c>
      <c r="E29" s="6"/>
      <c r="F29">
        <v>4.0887828386471153E-3</v>
      </c>
      <c r="G29" s="4">
        <v>0.5</v>
      </c>
      <c r="H29" s="4">
        <f t="shared" si="5"/>
        <v>7.8807251428819752E-2</v>
      </c>
      <c r="I29" s="7"/>
      <c r="J29" s="6"/>
      <c r="L29" s="7">
        <f t="shared" si="6"/>
        <v>2.0443914193235577E-3</v>
      </c>
      <c r="N29" s="4">
        <f>(-0.1+0.5)/0.004</f>
        <v>100</v>
      </c>
    </row>
    <row r="30" spans="1:15" x14ac:dyDescent="0.2">
      <c r="A30" s="1" t="s">
        <v>38</v>
      </c>
      <c r="B30" s="1">
        <v>7.4306100000000003E-6</v>
      </c>
      <c r="C30" s="4">
        <v>1921749773.7200744</v>
      </c>
      <c r="D30" s="9">
        <f t="shared" si="4"/>
        <v>0.14321794313805133</v>
      </c>
      <c r="E30" s="6">
        <f>0.9*D31+0.1*D30</f>
        <v>3.9013095847809511</v>
      </c>
      <c r="F30">
        <v>2.0923007072908058E-3</v>
      </c>
      <c r="G30" s="4">
        <v>1.5</v>
      </c>
      <c r="H30" s="4">
        <f t="shared" si="5"/>
        <v>1.9977000248298617E-4</v>
      </c>
      <c r="I30" s="7">
        <f>0.9*H31+0.1*H30</f>
        <v>5.4418085357317231E-3</v>
      </c>
      <c r="J30" s="6">
        <f t="shared" si="7"/>
        <v>183.7624373282984</v>
      </c>
      <c r="L30" s="7">
        <f t="shared" si="6"/>
        <v>3.1384510609362088E-3</v>
      </c>
      <c r="N30" s="4"/>
    </row>
    <row r="31" spans="1:15" x14ac:dyDescent="0.2">
      <c r="A31" s="1" t="s">
        <v>39</v>
      </c>
      <c r="B31" s="1">
        <v>2.0352100000000001E-5</v>
      </c>
      <c r="C31" s="4">
        <v>1029748179.181354</v>
      </c>
      <c r="D31" s="9">
        <f t="shared" si="4"/>
        <v>4.3188753227412731</v>
      </c>
      <c r="E31" s="6"/>
      <c r="F31">
        <v>2.0923007072908058E-3</v>
      </c>
      <c r="G31" s="4">
        <v>1.5</v>
      </c>
      <c r="H31" s="4">
        <f t="shared" si="5"/>
        <v>6.0242572616482489E-3</v>
      </c>
      <c r="I31" s="7"/>
      <c r="J31" s="6"/>
      <c r="L31" s="7">
        <f t="shared" si="6"/>
        <v>3.1384510609362088E-3</v>
      </c>
      <c r="N31" s="4"/>
    </row>
    <row r="32" spans="1:15" x14ac:dyDescent="0.2">
      <c r="A32" s="1" t="s">
        <v>42</v>
      </c>
      <c r="B32" s="1">
        <v>1.19552E-5</v>
      </c>
      <c r="C32" s="4">
        <v>1402828427.1260099</v>
      </c>
      <c r="D32" s="9">
        <f t="shared" si="4"/>
        <v>0.70054278444764573</v>
      </c>
      <c r="E32" s="6">
        <f>0.9*D33+0.1*D32</f>
        <v>23.188901645560247</v>
      </c>
      <c r="F32">
        <v>2.0583715066320309E-2</v>
      </c>
      <c r="G32" s="4">
        <v>1.5</v>
      </c>
      <c r="H32" s="4">
        <f t="shared" si="5"/>
        <v>9.6131820445579906E-3</v>
      </c>
      <c r="I32" s="7">
        <f>0.9*H33+0.1*H32</f>
        <v>0.31820916278209216</v>
      </c>
      <c r="J32" s="6">
        <f t="shared" si="7"/>
        <v>3.142587068383051</v>
      </c>
      <c r="L32" s="7">
        <f t="shared" si="6"/>
        <v>3.0875572599480462E-2</v>
      </c>
      <c r="N32" s="4"/>
    </row>
    <row r="33" spans="1:14" x14ac:dyDescent="0.2">
      <c r="A33" s="1" t="s">
        <v>43</v>
      </c>
      <c r="B33" s="1">
        <v>3.3163300000000001E-5</v>
      </c>
      <c r="C33" s="4">
        <v>868740337.05044556</v>
      </c>
      <c r="D33" s="9">
        <f t="shared" si="4"/>
        <v>25.687608185683867</v>
      </c>
      <c r="E33" s="6"/>
      <c r="F33">
        <v>2.0583715066320309E-2</v>
      </c>
      <c r="G33" s="4">
        <v>1.5</v>
      </c>
      <c r="H33" s="4">
        <f t="shared" si="5"/>
        <v>0.35249760508626266</v>
      </c>
      <c r="I33" s="7"/>
      <c r="J33" s="6"/>
      <c r="L33" s="7">
        <f t="shared" si="6"/>
        <v>3.0875572599480462E-2</v>
      </c>
      <c r="N33" s="4"/>
    </row>
    <row r="34" spans="1:14" x14ac:dyDescent="0.2">
      <c r="A34" t="s">
        <v>44</v>
      </c>
      <c r="B34" s="1">
        <v>6.4837600000000002E-6</v>
      </c>
      <c r="C34" s="4">
        <v>2292232684.6603961</v>
      </c>
      <c r="D34" s="9">
        <f t="shared" si="4"/>
        <v>9.9030539924843786E-2</v>
      </c>
      <c r="E34" s="6">
        <f>0.8*D35+0.2*D34</f>
        <v>6.8002447797261416</v>
      </c>
      <c r="F34">
        <v>3.2821789248379334E-3</v>
      </c>
      <c r="G34" s="4">
        <v>2</v>
      </c>
      <c r="H34" s="4">
        <f t="shared" si="5"/>
        <v>1.625179755283219E-4</v>
      </c>
      <c r="I34" s="7">
        <f>0.8*H35+0.2*H34</f>
        <v>1.1159810049878158E-2</v>
      </c>
      <c r="J34" s="6">
        <f t="shared" si="7"/>
        <v>89.607259938166948</v>
      </c>
      <c r="L34" s="7">
        <f t="shared" si="6"/>
        <v>6.5643578496758668E-3</v>
      </c>
      <c r="N34" s="4"/>
    </row>
    <row r="35" spans="1:14" x14ac:dyDescent="0.2">
      <c r="A35" t="s">
        <v>45</v>
      </c>
      <c r="B35" s="1">
        <v>2.1914100000000001E-5</v>
      </c>
      <c r="C35" s="4">
        <v>1503386083.965745</v>
      </c>
      <c r="D35" s="9">
        <f t="shared" si="4"/>
        <v>8.4755483396764664</v>
      </c>
      <c r="E35" s="6"/>
      <c r="F35">
        <v>3.2821789248379334E-3</v>
      </c>
      <c r="G35" s="4">
        <v>2</v>
      </c>
      <c r="H35" s="4">
        <f t="shared" si="5"/>
        <v>1.3909133068465617E-2</v>
      </c>
      <c r="I35" s="7"/>
      <c r="J35" s="6"/>
      <c r="L35" s="7">
        <f t="shared" si="6"/>
        <v>6.5643578496758668E-3</v>
      </c>
      <c r="N35" s="4"/>
    </row>
    <row r="36" spans="1:14" x14ac:dyDescent="0.2">
      <c r="A36" t="s">
        <v>46</v>
      </c>
      <c r="B36" s="1">
        <v>7.3343899999999998E-6</v>
      </c>
      <c r="C36" s="5">
        <v>2292232684.6603961</v>
      </c>
      <c r="D36" s="9">
        <f t="shared" si="4"/>
        <v>0.16215017492386527</v>
      </c>
      <c r="E36" s="6">
        <f>0.8*D37+0.2*D36</f>
        <v>2.1347550936406781</v>
      </c>
      <c r="F36">
        <v>4.0518691249674379E-3</v>
      </c>
      <c r="G36">
        <v>1</v>
      </c>
      <c r="H36" s="4">
        <f t="shared" si="5"/>
        <v>6.5701128738207895E-4</v>
      </c>
      <c r="I36" s="7">
        <f>0.8*H37+0.2*H36</f>
        <v>8.6497482532896363E-3</v>
      </c>
      <c r="J36" s="6">
        <f t="shared" si="7"/>
        <v>115.61030109976717</v>
      </c>
      <c r="L36" s="7">
        <f t="shared" si="6"/>
        <v>4.0518691249674379E-3</v>
      </c>
      <c r="N36" s="4"/>
    </row>
    <row r="37" spans="1:14" x14ac:dyDescent="0.2">
      <c r="A37" t="s">
        <v>47</v>
      </c>
      <c r="B37" s="1">
        <v>1.63525E-5</v>
      </c>
      <c r="C37" s="5">
        <v>1503386083.965745</v>
      </c>
      <c r="D37" s="9">
        <f t="shared" si="4"/>
        <v>2.6279063233198814</v>
      </c>
      <c r="E37" s="6"/>
      <c r="F37">
        <v>4.0518691249674379E-3</v>
      </c>
      <c r="G37">
        <v>1</v>
      </c>
      <c r="H37" s="4">
        <f t="shared" si="5"/>
        <v>1.0647932494766525E-2</v>
      </c>
      <c r="I37" s="7"/>
      <c r="J37" s="6"/>
      <c r="L37" s="7">
        <f t="shared" si="6"/>
        <v>4.0518691249674379E-3</v>
      </c>
      <c r="N37" s="4"/>
    </row>
    <row r="38" spans="1:14" x14ac:dyDescent="0.2">
      <c r="A38" s="1" t="s">
        <v>48</v>
      </c>
      <c r="B38" s="1">
        <v>8.3961499999999992E-6</v>
      </c>
      <c r="C38" s="5">
        <v>2292232684.6603961</v>
      </c>
      <c r="D38" s="9">
        <f t="shared" si="4"/>
        <v>0.27847241345801704</v>
      </c>
      <c r="E38" s="6">
        <f>0.8*D39+0.2*D38</f>
        <v>17.496455108591533</v>
      </c>
      <c r="F38">
        <v>3.5130859848767782E-3</v>
      </c>
      <c r="G38">
        <v>0.85</v>
      </c>
      <c r="H38" s="4">
        <f t="shared" si="5"/>
        <v>1.1509382739931426E-3</v>
      </c>
      <c r="I38" s="7">
        <f>0.8*H39+0.2*H38</f>
        <v>7.231358967884545E-2</v>
      </c>
      <c r="J38" s="6">
        <f t="shared" si="7"/>
        <v>13.828659377042916</v>
      </c>
      <c r="L38" s="7">
        <f t="shared" si="6"/>
        <v>2.9861230871452613E-3</v>
      </c>
      <c r="N38" s="4"/>
    </row>
    <row r="39" spans="1:14" x14ac:dyDescent="0.2">
      <c r="A39" s="1" t="s">
        <v>49</v>
      </c>
      <c r="B39" s="1">
        <v>2.7752399999999999E-5</v>
      </c>
      <c r="C39" s="5">
        <v>1503386083.965745</v>
      </c>
      <c r="D39" s="9">
        <f t="shared" si="4"/>
        <v>21.800950782374912</v>
      </c>
      <c r="E39" s="6"/>
      <c r="F39">
        <v>3.5130859848767782E-3</v>
      </c>
      <c r="G39">
        <v>0.85</v>
      </c>
      <c r="H39" s="4">
        <f t="shared" si="5"/>
        <v>9.0104252530058521E-2</v>
      </c>
      <c r="I39" s="7"/>
      <c r="J39" s="6"/>
      <c r="L39" s="7">
        <f t="shared" si="6"/>
        <v>2.9861230871452613E-3</v>
      </c>
      <c r="N39" s="4"/>
    </row>
    <row r="40" spans="1:14" x14ac:dyDescent="0.2">
      <c r="A40" s="1" t="s">
        <v>50</v>
      </c>
      <c r="B40" s="1">
        <v>1.19434E-5</v>
      </c>
      <c r="C40" s="4">
        <v>1550958901.7095528</v>
      </c>
      <c r="D40" s="9">
        <f t="shared" si="4"/>
        <v>0.77146268259656425</v>
      </c>
      <c r="E40" s="6">
        <f>0.8*D41+0.2*D40</f>
        <v>12.926324423712961</v>
      </c>
      <c r="F40">
        <v>2.9091147972241493E-2</v>
      </c>
      <c r="G40" s="4">
        <v>3</v>
      </c>
      <c r="H40" s="4">
        <f t="shared" si="5"/>
        <v>7.4809116848263413E-3</v>
      </c>
      <c r="I40" s="7">
        <f>0.8*H41+0.2*H40</f>
        <v>0.12534720551581099</v>
      </c>
      <c r="J40" s="6">
        <f t="shared" si="7"/>
        <v>7.9778403984751174</v>
      </c>
      <c r="L40" s="7">
        <f t="shared" si="6"/>
        <v>8.727344391672448E-2</v>
      </c>
      <c r="N40" s="4"/>
    </row>
    <row r="41" spans="1:14" x14ac:dyDescent="0.2">
      <c r="A41" s="1" t="s">
        <v>51</v>
      </c>
      <c r="B41" s="1">
        <v>3.0651000000000002E-5</v>
      </c>
      <c r="C41" s="4">
        <v>739926688.03710067</v>
      </c>
      <c r="D41" s="9">
        <f t="shared" si="4"/>
        <v>15.965039858992059</v>
      </c>
      <c r="E41" s="6"/>
      <c r="F41">
        <v>2.9091147972241493E-2</v>
      </c>
      <c r="G41" s="4">
        <v>3</v>
      </c>
      <c r="H41" s="4">
        <f t="shared" si="5"/>
        <v>0.15481377897355716</v>
      </c>
      <c r="I41" s="4"/>
      <c r="L41" s="7">
        <f t="shared" si="6"/>
        <v>8.727344391672448E-2</v>
      </c>
      <c r="N41" s="4"/>
    </row>
    <row r="42" spans="1:14" x14ac:dyDescent="0.2">
      <c r="I42" t="s">
        <v>115</v>
      </c>
      <c r="J42" t="s">
        <v>116</v>
      </c>
    </row>
    <row r="43" spans="1:14" x14ac:dyDescent="0.2">
      <c r="D43" t="s">
        <v>97</v>
      </c>
      <c r="E43" t="s">
        <v>99</v>
      </c>
      <c r="G43" s="4"/>
    </row>
    <row r="44" spans="1:14" x14ac:dyDescent="0.2">
      <c r="D44" t="s">
        <v>98</v>
      </c>
      <c r="E44" t="s">
        <v>101</v>
      </c>
      <c r="F44" t="s">
        <v>100</v>
      </c>
      <c r="G44" s="4" t="s">
        <v>104</v>
      </c>
      <c r="I44">
        <f>I40/2</f>
        <v>6.2673602757905497E-2</v>
      </c>
    </row>
    <row r="45" spans="1:14" x14ac:dyDescent="0.2">
      <c r="C45" t="s">
        <v>35</v>
      </c>
      <c r="D45" s="9">
        <f t="shared" ref="D45:D62" si="8">(C24*((PI()*B24^4)/(128*0.000000001002)))</f>
        <v>2.0672420985309427E-4</v>
      </c>
      <c r="E45" t="s">
        <v>102</v>
      </c>
      <c r="F45" t="s">
        <v>103</v>
      </c>
      <c r="G45" s="4" t="s">
        <v>105</v>
      </c>
    </row>
    <row r="46" spans="1:14" x14ac:dyDescent="0.2">
      <c r="C46" t="s">
        <v>34</v>
      </c>
      <c r="D46" s="9">
        <f t="shared" si="8"/>
        <v>5.0569310240911923E-3</v>
      </c>
    </row>
    <row r="47" spans="1:14" x14ac:dyDescent="0.2">
      <c r="C47" t="s">
        <v>36</v>
      </c>
      <c r="D47" s="11">
        <f t="shared" si="8"/>
        <v>9.9033137180641289E-5</v>
      </c>
    </row>
    <row r="48" spans="1:14" x14ac:dyDescent="0.2">
      <c r="C48" t="s">
        <v>37</v>
      </c>
      <c r="D48" s="9">
        <f t="shared" si="8"/>
        <v>1.2962065124088975E-2</v>
      </c>
    </row>
    <row r="49" spans="3:11" x14ac:dyDescent="0.2">
      <c r="C49" s="1" t="s">
        <v>40</v>
      </c>
      <c r="D49" s="9">
        <f t="shared" si="8"/>
        <v>2.6743043960410467E-4</v>
      </c>
    </row>
    <row r="50" spans="3:11" x14ac:dyDescent="0.2">
      <c r="C50" s="1" t="s">
        <v>41</v>
      </c>
      <c r="D50" s="9">
        <f t="shared" si="8"/>
        <v>9.6563188739234116E-3</v>
      </c>
    </row>
    <row r="51" spans="3:11" x14ac:dyDescent="0.2">
      <c r="C51" s="1" t="s">
        <v>38</v>
      </c>
      <c r="D51" s="9">
        <f t="shared" si="8"/>
        <v>1.4350495304413962E-4</v>
      </c>
    </row>
    <row r="52" spans="3:11" x14ac:dyDescent="0.2">
      <c r="C52" s="1" t="s">
        <v>39</v>
      </c>
      <c r="D52" s="9">
        <f t="shared" si="8"/>
        <v>4.3275303835082898E-3</v>
      </c>
      <c r="J52" t="s">
        <v>57</v>
      </c>
    </row>
    <row r="53" spans="3:11" x14ac:dyDescent="0.2">
      <c r="C53" s="1" t="s">
        <v>42</v>
      </c>
      <c r="D53" s="9">
        <f t="shared" si="8"/>
        <v>7.0194667780325228E-4</v>
      </c>
      <c r="J53" s="4">
        <v>1.8</v>
      </c>
      <c r="K53" s="12">
        <f>J53/0.0025</f>
        <v>720</v>
      </c>
    </row>
    <row r="54" spans="3:11" x14ac:dyDescent="0.2">
      <c r="C54" s="1" t="s">
        <v>43</v>
      </c>
      <c r="D54" s="9">
        <f t="shared" si="8"/>
        <v>2.5739086358400668E-2</v>
      </c>
      <c r="J54" s="4">
        <v>1.8</v>
      </c>
      <c r="K54" s="12">
        <f t="shared" ref="K54:K70" si="9">J54/0.0025</f>
        <v>720</v>
      </c>
    </row>
    <row r="55" spans="3:11" x14ac:dyDescent="0.2">
      <c r="C55" t="s">
        <v>44</v>
      </c>
      <c r="D55" s="11">
        <f t="shared" si="8"/>
        <v>9.9228997920685152E-5</v>
      </c>
      <c r="J55" s="4">
        <v>0.5</v>
      </c>
      <c r="K55" s="12">
        <f t="shared" si="9"/>
        <v>200</v>
      </c>
    </row>
    <row r="56" spans="3:11" x14ac:dyDescent="0.2">
      <c r="C56" t="s">
        <v>45</v>
      </c>
      <c r="D56" s="9">
        <f t="shared" si="8"/>
        <v>8.4925334064894446E-3</v>
      </c>
      <c r="J56" s="4">
        <v>0.5</v>
      </c>
      <c r="K56" s="12">
        <f t="shared" si="9"/>
        <v>200</v>
      </c>
    </row>
    <row r="57" spans="3:11" x14ac:dyDescent="0.2">
      <c r="C57" t="s">
        <v>46</v>
      </c>
      <c r="D57" s="9">
        <f t="shared" si="8"/>
        <v>1.6247512517421369E-4</v>
      </c>
      <c r="J57" s="4">
        <v>0.5</v>
      </c>
      <c r="K57" s="12">
        <f t="shared" si="9"/>
        <v>200</v>
      </c>
    </row>
    <row r="58" spans="3:11" x14ac:dyDescent="0.2">
      <c r="C58" t="s">
        <v>47</v>
      </c>
      <c r="D58" s="9">
        <f t="shared" si="8"/>
        <v>2.6331726686571956E-3</v>
      </c>
      <c r="J58" s="4">
        <v>0.5</v>
      </c>
      <c r="K58" s="12">
        <f t="shared" si="9"/>
        <v>200</v>
      </c>
    </row>
    <row r="59" spans="3:11" x14ac:dyDescent="0.2">
      <c r="C59" s="1" t="s">
        <v>48</v>
      </c>
      <c r="D59" s="9">
        <f t="shared" si="8"/>
        <v>2.790304744068307E-4</v>
      </c>
      <c r="J59" s="4">
        <v>1.5</v>
      </c>
      <c r="K59" s="12">
        <f t="shared" si="9"/>
        <v>600</v>
      </c>
    </row>
    <row r="60" spans="3:11" x14ac:dyDescent="0.2">
      <c r="C60" s="1" t="s">
        <v>49</v>
      </c>
      <c r="D60" s="9">
        <f t="shared" si="8"/>
        <v>2.184464006249991E-2</v>
      </c>
      <c r="J60" s="4">
        <v>1.5</v>
      </c>
      <c r="K60" s="12">
        <f t="shared" si="9"/>
        <v>600</v>
      </c>
    </row>
    <row r="61" spans="3:11" x14ac:dyDescent="0.2">
      <c r="C61" s="1" t="s">
        <v>50</v>
      </c>
      <c r="D61" s="9">
        <f t="shared" si="8"/>
        <v>7.730086999965574E-4</v>
      </c>
      <c r="J61" s="4">
        <v>1.5</v>
      </c>
      <c r="K61" s="12">
        <f t="shared" si="9"/>
        <v>600</v>
      </c>
    </row>
    <row r="62" spans="3:11" x14ac:dyDescent="0.2">
      <c r="C62" s="1" t="s">
        <v>51</v>
      </c>
      <c r="D62" s="9">
        <f t="shared" si="8"/>
        <v>1.599703392684575E-2</v>
      </c>
      <c r="J62" s="4">
        <v>1.5</v>
      </c>
      <c r="K62" s="12">
        <f t="shared" si="9"/>
        <v>600</v>
      </c>
    </row>
    <row r="63" spans="3:11" x14ac:dyDescent="0.2">
      <c r="J63" s="4">
        <v>2</v>
      </c>
      <c r="K63" s="12">
        <f t="shared" si="9"/>
        <v>800</v>
      </c>
    </row>
    <row r="64" spans="3:11" x14ac:dyDescent="0.2">
      <c r="J64" s="4">
        <v>2</v>
      </c>
      <c r="K64" s="12">
        <f t="shared" si="9"/>
        <v>800</v>
      </c>
    </row>
    <row r="65" spans="10:11" x14ac:dyDescent="0.2">
      <c r="J65">
        <v>1</v>
      </c>
      <c r="K65" s="12">
        <f t="shared" si="9"/>
        <v>400</v>
      </c>
    </row>
    <row r="66" spans="10:11" x14ac:dyDescent="0.2">
      <c r="J66">
        <v>1</v>
      </c>
      <c r="K66" s="12">
        <f t="shared" si="9"/>
        <v>400</v>
      </c>
    </row>
    <row r="67" spans="10:11" x14ac:dyDescent="0.2">
      <c r="J67">
        <v>0.85</v>
      </c>
      <c r="K67" s="12">
        <f t="shared" si="9"/>
        <v>340</v>
      </c>
    </row>
    <row r="68" spans="10:11" x14ac:dyDescent="0.2">
      <c r="J68">
        <v>0.85</v>
      </c>
      <c r="K68" s="12">
        <f t="shared" si="9"/>
        <v>340</v>
      </c>
    </row>
    <row r="69" spans="10:11" x14ac:dyDescent="0.2">
      <c r="J69" s="4">
        <v>3</v>
      </c>
      <c r="K69" s="12">
        <f t="shared" si="9"/>
        <v>1200</v>
      </c>
    </row>
    <row r="70" spans="10:11" x14ac:dyDescent="0.2">
      <c r="J70" s="4">
        <v>3</v>
      </c>
      <c r="K70" s="12">
        <f t="shared" si="9"/>
        <v>1200</v>
      </c>
    </row>
  </sheetData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899EF-C242-004D-8EC2-CE6EB2363A61}">
  <dimension ref="A1:AQ63"/>
  <sheetViews>
    <sheetView topLeftCell="H1" zoomScale="57" workbookViewId="0">
      <selection activeCell="AG16" sqref="AG16:AG34"/>
    </sheetView>
  </sheetViews>
  <sheetFormatPr baseColWidth="10" defaultRowHeight="16" x14ac:dyDescent="0.2"/>
  <cols>
    <col min="2" max="2" width="5.1640625" customWidth="1"/>
    <col min="4" max="4" width="14.5" customWidth="1"/>
    <col min="5" max="5" width="6.33203125" customWidth="1"/>
    <col min="7" max="7" width="13" customWidth="1"/>
    <col min="8" max="8" width="5.1640625" customWidth="1"/>
    <col min="11" max="11" width="5.6640625" customWidth="1"/>
    <col min="14" max="14" width="5" customWidth="1"/>
    <col min="16" max="16" width="11" bestFit="1" customWidth="1"/>
    <col min="17" max="17" width="5.33203125" customWidth="1"/>
    <col min="18" max="19" width="11" bestFit="1" customWidth="1"/>
    <col min="20" max="20" width="4.5" customWidth="1"/>
    <col min="21" max="22" width="11" bestFit="1" customWidth="1"/>
    <col min="23" max="23" width="4.83203125" customWidth="1"/>
    <col min="24" max="25" width="11" bestFit="1" customWidth="1"/>
    <col min="26" max="26" width="4.83203125" customWidth="1"/>
    <col min="27" max="28" width="11" bestFit="1" customWidth="1"/>
    <col min="30" max="34" width="12.5" bestFit="1" customWidth="1"/>
    <col min="35" max="35" width="13" bestFit="1" customWidth="1"/>
    <col min="36" max="38" width="12.5" bestFit="1" customWidth="1"/>
  </cols>
  <sheetData>
    <row r="1" spans="1:43" x14ac:dyDescent="0.2">
      <c r="C1" t="s">
        <v>72</v>
      </c>
      <c r="D1" t="s">
        <v>73</v>
      </c>
      <c r="F1" t="s">
        <v>74</v>
      </c>
      <c r="G1" t="s">
        <v>75</v>
      </c>
      <c r="I1" t="s">
        <v>76</v>
      </c>
      <c r="J1" t="s">
        <v>87</v>
      </c>
      <c r="L1" s="1" t="s">
        <v>77</v>
      </c>
      <c r="M1" s="1" t="s">
        <v>88</v>
      </c>
      <c r="N1" s="1"/>
      <c r="O1" s="1" t="s">
        <v>78</v>
      </c>
      <c r="P1" s="1" t="s">
        <v>89</v>
      </c>
      <c r="Q1" s="1"/>
      <c r="R1" s="1" t="s">
        <v>79</v>
      </c>
      <c r="S1" s="1" t="s">
        <v>90</v>
      </c>
      <c r="T1" s="1"/>
      <c r="U1" s="1" t="s">
        <v>80</v>
      </c>
      <c r="V1" s="1" t="s">
        <v>91</v>
      </c>
      <c r="W1" s="1"/>
      <c r="X1" s="1" t="s">
        <v>81</v>
      </c>
      <c r="Y1" s="1" t="s">
        <v>92</v>
      </c>
      <c r="Z1" s="1"/>
      <c r="AA1" s="1" t="s">
        <v>82</v>
      </c>
      <c r="AB1" s="1" t="s">
        <v>93</v>
      </c>
    </row>
    <row r="2" spans="1:43" x14ac:dyDescent="0.2">
      <c r="A2">
        <v>1</v>
      </c>
      <c r="B2" t="s">
        <v>30</v>
      </c>
      <c r="C2">
        <v>3.8583144654088044</v>
      </c>
      <c r="D2">
        <v>11</v>
      </c>
      <c r="E2" t="s">
        <v>30</v>
      </c>
      <c r="F2">
        <v>1.6124003527336861</v>
      </c>
      <c r="G2">
        <v>10</v>
      </c>
      <c r="H2" t="s">
        <v>30</v>
      </c>
      <c r="I2">
        <v>2.5289658119658118</v>
      </c>
      <c r="J2">
        <v>11</v>
      </c>
      <c r="K2" t="s">
        <v>30</v>
      </c>
      <c r="L2">
        <v>1.7714444444444446</v>
      </c>
      <c r="M2">
        <v>11</v>
      </c>
      <c r="N2" t="s">
        <v>30</v>
      </c>
      <c r="O2">
        <v>2.4625232836843001</v>
      </c>
      <c r="P2">
        <v>15</v>
      </c>
      <c r="Q2" s="1" t="s">
        <v>30</v>
      </c>
      <c r="R2">
        <v>1.8019999999999998</v>
      </c>
      <c r="S2">
        <v>9</v>
      </c>
      <c r="T2" s="1" t="s">
        <v>30</v>
      </c>
      <c r="U2">
        <v>2.2808628439363754</v>
      </c>
      <c r="V2">
        <v>10</v>
      </c>
      <c r="W2" s="1" t="s">
        <v>30</v>
      </c>
      <c r="X2">
        <v>1.3134166666666667</v>
      </c>
      <c r="Y2">
        <v>12</v>
      </c>
      <c r="Z2" s="1" t="s">
        <v>30</v>
      </c>
      <c r="AA2">
        <v>2.3725000000000005</v>
      </c>
      <c r="AB2">
        <v>17</v>
      </c>
    </row>
    <row r="3" spans="1:43" x14ac:dyDescent="0.2">
      <c r="A3">
        <v>2</v>
      </c>
      <c r="B3" t="s">
        <v>30</v>
      </c>
      <c r="C3">
        <v>4.7853809133169261</v>
      </c>
      <c r="D3">
        <v>11</v>
      </c>
      <c r="E3" t="s">
        <v>30</v>
      </c>
      <c r="F3">
        <v>2.0317478488589598</v>
      </c>
      <c r="G3">
        <v>10</v>
      </c>
      <c r="H3" t="s">
        <v>30</v>
      </c>
      <c r="I3">
        <v>4.1680604163542752</v>
      </c>
      <c r="J3">
        <v>11</v>
      </c>
      <c r="K3" t="s">
        <v>30</v>
      </c>
      <c r="L3">
        <v>1.7714444444444446</v>
      </c>
      <c r="M3">
        <v>11</v>
      </c>
      <c r="N3" t="s">
        <v>30</v>
      </c>
      <c r="O3">
        <v>5.5944086629001886</v>
      </c>
      <c r="P3">
        <v>15</v>
      </c>
      <c r="Q3" s="1" t="s">
        <v>30</v>
      </c>
      <c r="R3">
        <v>1.8019999999999998</v>
      </c>
      <c r="S3">
        <v>9</v>
      </c>
      <c r="T3" s="1" t="s">
        <v>30</v>
      </c>
      <c r="U3">
        <v>3.4965326524003033</v>
      </c>
      <c r="V3">
        <v>10</v>
      </c>
      <c r="W3" s="1" t="s">
        <v>30</v>
      </c>
      <c r="X3">
        <v>1.5393988095238094</v>
      </c>
      <c r="Y3">
        <v>12</v>
      </c>
      <c r="Z3" s="1" t="s">
        <v>30</v>
      </c>
      <c r="AA3">
        <v>3.6248255360623758</v>
      </c>
      <c r="AB3">
        <v>17</v>
      </c>
    </row>
    <row r="4" spans="1:43" x14ac:dyDescent="0.2">
      <c r="A4">
        <v>3</v>
      </c>
      <c r="B4" t="s">
        <v>30</v>
      </c>
      <c r="C4">
        <v>6.1461296144380633</v>
      </c>
      <c r="D4">
        <v>11</v>
      </c>
      <c r="E4" t="s">
        <v>30</v>
      </c>
      <c r="F4">
        <v>2.900873015873016</v>
      </c>
      <c r="G4">
        <v>10</v>
      </c>
      <c r="H4" t="s">
        <v>30</v>
      </c>
      <c r="I4">
        <v>5.4147740353376319</v>
      </c>
      <c r="J4">
        <v>11</v>
      </c>
      <c r="K4" t="s">
        <v>30</v>
      </c>
      <c r="L4">
        <v>1.7714305555555556</v>
      </c>
      <c r="M4">
        <v>11</v>
      </c>
      <c r="N4" t="s">
        <v>30</v>
      </c>
      <c r="O4">
        <v>8.6483903441191625</v>
      </c>
      <c r="P4">
        <v>15</v>
      </c>
      <c r="Q4" s="1" t="s">
        <v>30</v>
      </c>
      <c r="R4">
        <v>1.8019999999999998</v>
      </c>
      <c r="S4">
        <v>9</v>
      </c>
      <c r="T4" s="1" t="s">
        <v>30</v>
      </c>
      <c r="U4">
        <v>4.1123028196263478</v>
      </c>
      <c r="V4">
        <v>10</v>
      </c>
      <c r="W4" s="1" t="s">
        <v>30</v>
      </c>
      <c r="X4">
        <v>2.3177986111111104</v>
      </c>
      <c r="Y4">
        <v>12</v>
      </c>
      <c r="Z4" s="1" t="s">
        <v>30</v>
      </c>
      <c r="AA4">
        <v>3.2936203703703684</v>
      </c>
      <c r="AB4">
        <v>17</v>
      </c>
    </row>
    <row r="5" spans="1:43" x14ac:dyDescent="0.2">
      <c r="A5">
        <v>4</v>
      </c>
      <c r="B5" t="s">
        <v>30</v>
      </c>
      <c r="C5">
        <v>7.4041536778780426</v>
      </c>
      <c r="D5">
        <v>11</v>
      </c>
      <c r="E5" t="s">
        <v>30</v>
      </c>
      <c r="F5">
        <v>4.1617407140184914</v>
      </c>
      <c r="G5">
        <v>10</v>
      </c>
      <c r="H5" t="s">
        <v>30</v>
      </c>
      <c r="I5">
        <v>6.8564351102114252</v>
      </c>
      <c r="J5">
        <v>11</v>
      </c>
      <c r="K5" t="s">
        <v>30</v>
      </c>
      <c r="L5">
        <v>2.2024270833333333</v>
      </c>
      <c r="M5">
        <v>11</v>
      </c>
      <c r="N5" t="s">
        <v>30</v>
      </c>
      <c r="O5">
        <v>12.931610169491529</v>
      </c>
      <c r="P5">
        <v>15</v>
      </c>
      <c r="Q5" s="1" t="s">
        <v>30</v>
      </c>
      <c r="R5">
        <v>2.2978928571428572</v>
      </c>
      <c r="S5">
        <v>9</v>
      </c>
      <c r="T5" s="1" t="s">
        <v>30</v>
      </c>
      <c r="U5">
        <v>4.7929868019279773</v>
      </c>
      <c r="V5">
        <v>10</v>
      </c>
      <c r="W5" s="1" t="s">
        <v>30</v>
      </c>
      <c r="X5">
        <v>3.2928373015873014</v>
      </c>
      <c r="Y5">
        <v>12</v>
      </c>
      <c r="Z5" s="1" t="s">
        <v>30</v>
      </c>
      <c r="AA5">
        <v>5.2605526315789488</v>
      </c>
      <c r="AB5">
        <v>17</v>
      </c>
      <c r="AE5" s="10" t="s">
        <v>95</v>
      </c>
      <c r="AQ5" t="s">
        <v>64</v>
      </c>
    </row>
    <row r="6" spans="1:43" x14ac:dyDescent="0.2">
      <c r="A6">
        <v>5</v>
      </c>
      <c r="B6" t="s">
        <v>30</v>
      </c>
      <c r="C6">
        <v>8.5842712605961182</v>
      </c>
      <c r="D6">
        <v>11</v>
      </c>
      <c r="E6" t="s">
        <v>30</v>
      </c>
      <c r="F6">
        <v>5.6241251135695585</v>
      </c>
      <c r="G6">
        <v>10</v>
      </c>
      <c r="H6" t="s">
        <v>30</v>
      </c>
      <c r="I6">
        <v>7.6990658831908831</v>
      </c>
      <c r="J6">
        <v>11</v>
      </c>
      <c r="K6" t="s">
        <v>30</v>
      </c>
      <c r="L6">
        <v>2.2639999999999998</v>
      </c>
      <c r="M6">
        <v>11</v>
      </c>
      <c r="N6" t="s">
        <v>30</v>
      </c>
      <c r="O6">
        <v>14.261974833076536</v>
      </c>
      <c r="P6">
        <v>15</v>
      </c>
      <c r="Q6" s="1" t="s">
        <v>30</v>
      </c>
      <c r="R6">
        <v>2.9590833333333335</v>
      </c>
      <c r="S6">
        <v>9</v>
      </c>
      <c r="T6" s="1" t="s">
        <v>30</v>
      </c>
      <c r="U6">
        <v>5.0613445735651581</v>
      </c>
      <c r="V6">
        <v>10</v>
      </c>
      <c r="W6" s="1" t="s">
        <v>30</v>
      </c>
      <c r="X6">
        <v>5.0067916666666674</v>
      </c>
      <c r="Y6">
        <v>12</v>
      </c>
      <c r="Z6" s="1" t="s">
        <v>30</v>
      </c>
      <c r="AA6">
        <v>6.0160599415204699</v>
      </c>
      <c r="AB6">
        <v>17</v>
      </c>
      <c r="AE6" t="s">
        <v>33</v>
      </c>
      <c r="AQ6" s="4">
        <v>2.5938999999999998E-6</v>
      </c>
    </row>
    <row r="7" spans="1:43" x14ac:dyDescent="0.2">
      <c r="A7">
        <v>6</v>
      </c>
      <c r="B7" t="s">
        <v>29</v>
      </c>
      <c r="C7">
        <v>10.602467596390484</v>
      </c>
      <c r="D7" s="1">
        <v>22</v>
      </c>
      <c r="E7" t="s">
        <v>30</v>
      </c>
      <c r="F7">
        <v>6.5868193843193863</v>
      </c>
      <c r="G7">
        <v>10</v>
      </c>
      <c r="H7" t="s">
        <v>30</v>
      </c>
      <c r="I7">
        <v>9.2118588494027112</v>
      </c>
      <c r="J7">
        <v>11</v>
      </c>
      <c r="K7" t="s">
        <v>30</v>
      </c>
      <c r="L7">
        <v>2.7820833333333339</v>
      </c>
      <c r="M7">
        <v>11</v>
      </c>
      <c r="N7" t="s">
        <v>29</v>
      </c>
      <c r="O7">
        <v>16.283566341379906</v>
      </c>
      <c r="P7">
        <v>37</v>
      </c>
      <c r="Q7" s="1" t="s">
        <v>30</v>
      </c>
      <c r="R7">
        <v>2.9590833333333335</v>
      </c>
      <c r="S7">
        <v>9</v>
      </c>
      <c r="T7" s="1" t="s">
        <v>30</v>
      </c>
      <c r="U7">
        <v>5.3035554714378224</v>
      </c>
      <c r="V7">
        <v>10</v>
      </c>
      <c r="W7" s="1" t="s">
        <v>30</v>
      </c>
      <c r="X7">
        <v>7.2463988095238108</v>
      </c>
      <c r="Y7">
        <v>12</v>
      </c>
      <c r="Z7" s="1" t="s">
        <v>30</v>
      </c>
      <c r="AA7">
        <v>7.2066359649122829</v>
      </c>
      <c r="AB7">
        <v>17</v>
      </c>
      <c r="AE7" s="2"/>
      <c r="AF7" s="2" t="s">
        <v>5</v>
      </c>
      <c r="AG7" s="2" t="s">
        <v>6</v>
      </c>
      <c r="AH7" s="2" t="s">
        <v>7</v>
      </c>
      <c r="AI7" s="2" t="s">
        <v>8</v>
      </c>
      <c r="AJ7" s="2" t="s">
        <v>9</v>
      </c>
      <c r="AK7" s="2" t="s">
        <v>1</v>
      </c>
      <c r="AL7" s="2" t="s">
        <v>2</v>
      </c>
      <c r="AM7" s="2" t="s">
        <v>3</v>
      </c>
      <c r="AN7" s="2" t="s">
        <v>4</v>
      </c>
      <c r="AQ7" s="4">
        <v>9.1919999999999994E-6</v>
      </c>
    </row>
    <row r="8" spans="1:43" x14ac:dyDescent="0.2">
      <c r="A8">
        <v>7</v>
      </c>
      <c r="B8" t="s">
        <v>29</v>
      </c>
      <c r="C8">
        <v>11.118440251572329</v>
      </c>
      <c r="D8" s="1">
        <v>22</v>
      </c>
      <c r="E8" t="s">
        <v>30</v>
      </c>
      <c r="F8">
        <v>8.077281799476248</v>
      </c>
      <c r="G8">
        <v>10</v>
      </c>
      <c r="H8" t="s">
        <v>30</v>
      </c>
      <c r="I8">
        <v>10.838366046883591</v>
      </c>
      <c r="J8">
        <v>11</v>
      </c>
      <c r="K8" t="s">
        <v>30</v>
      </c>
      <c r="L8">
        <v>6.2920625000000001</v>
      </c>
      <c r="M8">
        <v>11</v>
      </c>
      <c r="N8" t="s">
        <v>29</v>
      </c>
      <c r="O8">
        <v>19.099447183701418</v>
      </c>
      <c r="P8">
        <v>37</v>
      </c>
      <c r="Q8" s="1" t="s">
        <v>30</v>
      </c>
      <c r="R8">
        <v>2.9590833333333335</v>
      </c>
      <c r="S8">
        <v>9</v>
      </c>
      <c r="T8" s="1" t="s">
        <v>30</v>
      </c>
      <c r="U8">
        <v>7.3833532713385672</v>
      </c>
      <c r="V8">
        <v>10</v>
      </c>
      <c r="W8" s="1" t="s">
        <v>30</v>
      </c>
      <c r="X8">
        <v>9.082097222222222</v>
      </c>
      <c r="Y8">
        <v>12</v>
      </c>
      <c r="Z8" s="1" t="s">
        <v>30</v>
      </c>
      <c r="AA8">
        <v>7.7358508771929868</v>
      </c>
      <c r="AB8">
        <v>17</v>
      </c>
      <c r="AE8" s="3" t="s">
        <v>30</v>
      </c>
      <c r="AF8" s="3">
        <f>(SUM(C28:C32)/COUNT(C28:C32))^0.25</f>
        <v>8.1160968055006464</v>
      </c>
      <c r="AG8" s="3">
        <f>(SUM(F28:F34)/COUNT(F28:F34))^0.25</f>
        <v>6.7849240252261218</v>
      </c>
      <c r="AH8" s="3">
        <f>(SUM(I28:I34)/COUNT(I28:I34))^0.25</f>
        <v>8.723618269491217</v>
      </c>
      <c r="AI8" s="3">
        <f>(SUM(L28:L36)/COUNT(L28:L36))^0.25</f>
        <v>7.4306142051396424</v>
      </c>
      <c r="AJ8" s="3">
        <f>(SUM(O28:O32)/COUNT(O28:O32))^0.25</f>
        <v>11.955232937671646</v>
      </c>
      <c r="AK8" s="3">
        <f>(SUM(R28:R37)/COUNT(R28:R37))^0.25</f>
        <v>6.4837558970408553</v>
      </c>
      <c r="AL8" s="3">
        <f>(SUM(U28:U35)/COUNT(U28:U35))^0.25</f>
        <v>7.3343920804692617</v>
      </c>
      <c r="AM8" s="3">
        <f>(SUM(X28:X35)/COUNT(X28:X35))^0.25</f>
        <v>8.3961459936195375</v>
      </c>
      <c r="AN8" s="3">
        <f>(SUM(AA28:AA38)/COUNT(AA28:AA38))^0.25</f>
        <v>11.943358823570835</v>
      </c>
      <c r="AQ8" s="4">
        <v>1.1849000000000001E-6</v>
      </c>
    </row>
    <row r="9" spans="1:43" x14ac:dyDescent="0.2">
      <c r="A9">
        <v>8</v>
      </c>
      <c r="B9" t="s">
        <v>29</v>
      </c>
      <c r="C9">
        <v>13.134935739677333</v>
      </c>
      <c r="D9" s="1">
        <v>22</v>
      </c>
      <c r="E9" t="s">
        <v>29</v>
      </c>
      <c r="F9">
        <v>10.680847469403025</v>
      </c>
      <c r="G9">
        <v>31</v>
      </c>
      <c r="H9" t="s">
        <v>29</v>
      </c>
      <c r="I9">
        <v>12.406197480881685</v>
      </c>
      <c r="J9">
        <v>31</v>
      </c>
      <c r="K9" t="s">
        <v>30</v>
      </c>
      <c r="L9">
        <v>8.9030138888888875</v>
      </c>
      <c r="M9">
        <v>11</v>
      </c>
      <c r="N9" t="s">
        <v>29</v>
      </c>
      <c r="O9">
        <v>22.309470809792838</v>
      </c>
      <c r="P9">
        <v>37</v>
      </c>
      <c r="Q9" s="1" t="s">
        <v>30</v>
      </c>
      <c r="R9">
        <v>7.6277547619047636</v>
      </c>
      <c r="S9">
        <v>9</v>
      </c>
      <c r="T9" s="1" t="s">
        <v>30</v>
      </c>
      <c r="U9">
        <v>9.8827522165022224</v>
      </c>
      <c r="V9">
        <v>10</v>
      </c>
      <c r="W9" s="1" t="s">
        <v>30</v>
      </c>
      <c r="X9">
        <v>11.236607142857141</v>
      </c>
      <c r="Y9">
        <v>12</v>
      </c>
      <c r="Z9" s="1" t="s">
        <v>30</v>
      </c>
      <c r="AA9">
        <v>8.4091769005847983</v>
      </c>
      <c r="AB9">
        <v>17</v>
      </c>
      <c r="AE9" s="3" t="s">
        <v>32</v>
      </c>
      <c r="AF9" s="3">
        <f>(SUM(C33:C52)/COUNT(C33:C52))^0.25</f>
        <v>19.965739558447986</v>
      </c>
      <c r="AG9" s="3">
        <f>(SUM(F35:F52)/COUNT(F35:F52))^0.25</f>
        <v>26.379143271878171</v>
      </c>
      <c r="AH9" s="3">
        <f>(SUM(I35:I52)/COUNT(I35:I52))^0.25</f>
        <v>25.718176417656679</v>
      </c>
      <c r="AI9" s="3">
        <f>(SUM(L37:L52)/COUNT(L37:L52))^0.25</f>
        <v>20.352123100182734</v>
      </c>
      <c r="AJ9" s="3">
        <f>(SUM(O33:O52)/COUNT(O33:O52))^0.25</f>
        <v>33.16328419718532</v>
      </c>
      <c r="AK9" s="3">
        <f>(SUM(R38:R52)/COUNT(R38:R52))^0.25</f>
        <v>21.914061857861217</v>
      </c>
      <c r="AL9" s="3">
        <f>(SUM(U36:U52)/COUNT(U36:U52))^0.25</f>
        <v>16.352518452245441</v>
      </c>
      <c r="AM9" s="3">
        <f>(SUM(X36:X52)/COUNT(X36:X52))^0.25</f>
        <v>27.752427663610128</v>
      </c>
      <c r="AN9" s="3">
        <f>(SUM(AA39:AA52)/COUNT(AA39:AA52))^0.25</f>
        <v>30.650990440348398</v>
      </c>
      <c r="AQ9" s="4">
        <v>1.1279E-5</v>
      </c>
    </row>
    <row r="10" spans="1:43" x14ac:dyDescent="0.2">
      <c r="A10">
        <v>9</v>
      </c>
      <c r="B10" t="s">
        <v>29</v>
      </c>
      <c r="C10">
        <v>14.981159420289856</v>
      </c>
      <c r="D10" s="1">
        <v>22</v>
      </c>
      <c r="E10" t="s">
        <v>29</v>
      </c>
      <c r="F10">
        <v>13.149526455026455</v>
      </c>
      <c r="G10">
        <v>31</v>
      </c>
      <c r="H10" t="s">
        <v>29</v>
      </c>
      <c r="I10">
        <v>14.15704594017094</v>
      </c>
      <c r="J10">
        <v>31</v>
      </c>
      <c r="K10" t="s">
        <v>30</v>
      </c>
      <c r="L10">
        <v>10.343972222222222</v>
      </c>
      <c r="M10">
        <v>11</v>
      </c>
      <c r="N10" t="s">
        <v>29</v>
      </c>
      <c r="O10">
        <v>26.036089368258882</v>
      </c>
      <c r="P10">
        <v>37</v>
      </c>
      <c r="Q10" s="1" t="s">
        <v>30</v>
      </c>
      <c r="R10">
        <v>8.4058666666666682</v>
      </c>
      <c r="S10">
        <v>9</v>
      </c>
      <c r="T10" t="s">
        <v>29</v>
      </c>
      <c r="U10">
        <v>10.475887404210939</v>
      </c>
      <c r="V10">
        <v>18</v>
      </c>
      <c r="W10" t="s">
        <v>29</v>
      </c>
      <c r="X10">
        <v>14.072573412698413</v>
      </c>
      <c r="Y10">
        <v>31</v>
      </c>
      <c r="Z10" s="1" t="s">
        <v>30</v>
      </c>
      <c r="AA10">
        <v>11.473606725146198</v>
      </c>
      <c r="AB10">
        <v>17</v>
      </c>
      <c r="AQ10" s="4">
        <v>2.2371999999999999E-6</v>
      </c>
    </row>
    <row r="11" spans="1:43" x14ac:dyDescent="0.2">
      <c r="A11">
        <v>10</v>
      </c>
      <c r="B11" t="s">
        <v>29</v>
      </c>
      <c r="C11">
        <v>15.478151490292589</v>
      </c>
      <c r="D11" s="1">
        <v>22</v>
      </c>
      <c r="E11" t="s">
        <v>29</v>
      </c>
      <c r="F11">
        <v>16.691866749505639</v>
      </c>
      <c r="G11">
        <v>31</v>
      </c>
      <c r="H11" t="s">
        <v>29</v>
      </c>
      <c r="I11">
        <v>15.912755535562553</v>
      </c>
      <c r="J11">
        <v>31</v>
      </c>
      <c r="K11" t="s">
        <v>29</v>
      </c>
      <c r="L11">
        <v>13.535447916666667</v>
      </c>
      <c r="M11">
        <v>22</v>
      </c>
      <c r="N11" t="s">
        <v>29</v>
      </c>
      <c r="O11">
        <v>28.106358671460356</v>
      </c>
      <c r="P11">
        <v>37</v>
      </c>
      <c r="Q11" s="1" t="s">
        <v>30</v>
      </c>
      <c r="R11">
        <v>8.4058666666666682</v>
      </c>
      <c r="S11">
        <v>9</v>
      </c>
      <c r="T11" t="s">
        <v>29</v>
      </c>
      <c r="U11">
        <v>12.174161062322829</v>
      </c>
      <c r="V11">
        <v>18</v>
      </c>
      <c r="W11" t="s">
        <v>29</v>
      </c>
      <c r="X11">
        <v>17.804000000000002</v>
      </c>
      <c r="Y11">
        <v>31</v>
      </c>
      <c r="Z11" s="1" t="s">
        <v>30</v>
      </c>
      <c r="AA11">
        <v>14.13964912280702</v>
      </c>
      <c r="AB11">
        <v>17</v>
      </c>
      <c r="AE11" t="s">
        <v>85</v>
      </c>
      <c r="AQ11" s="4">
        <v>1.0849999999999999E-5</v>
      </c>
    </row>
    <row r="12" spans="1:43" x14ac:dyDescent="0.2">
      <c r="A12">
        <v>11</v>
      </c>
      <c r="B12" t="s">
        <v>29</v>
      </c>
      <c r="C12">
        <v>17.007052775499048</v>
      </c>
      <c r="D12" s="1">
        <v>22</v>
      </c>
      <c r="E12" t="s">
        <v>29</v>
      </c>
      <c r="F12">
        <v>20.955739217572546</v>
      </c>
      <c r="G12">
        <v>31</v>
      </c>
      <c r="H12" t="s">
        <v>29</v>
      </c>
      <c r="I12">
        <v>17.342537955465591</v>
      </c>
      <c r="J12">
        <v>31</v>
      </c>
      <c r="K12" t="s">
        <v>29</v>
      </c>
      <c r="L12">
        <v>17.093666666666667</v>
      </c>
      <c r="M12">
        <v>22</v>
      </c>
      <c r="N12" t="s">
        <v>29</v>
      </c>
      <c r="O12">
        <v>27.85378873480569</v>
      </c>
      <c r="P12">
        <v>37</v>
      </c>
      <c r="Q12" t="s">
        <v>29</v>
      </c>
      <c r="R12">
        <v>10.895180952380954</v>
      </c>
      <c r="S12">
        <v>24</v>
      </c>
      <c r="T12" t="s">
        <v>29</v>
      </c>
      <c r="U12">
        <v>12.237387046710586</v>
      </c>
      <c r="V12">
        <v>18</v>
      </c>
      <c r="W12" t="s">
        <v>29</v>
      </c>
      <c r="X12">
        <v>19.645798611111108</v>
      </c>
      <c r="Y12">
        <v>31</v>
      </c>
      <c r="Z12" s="1" t="s">
        <v>30</v>
      </c>
      <c r="AA12">
        <v>16.594149122807018</v>
      </c>
      <c r="AB12">
        <v>17</v>
      </c>
      <c r="AF12" t="s">
        <v>5</v>
      </c>
      <c r="AG12" t="s">
        <v>6</v>
      </c>
      <c r="AH12" t="s">
        <v>7</v>
      </c>
      <c r="AI12" t="s">
        <v>8</v>
      </c>
      <c r="AJ12" t="s">
        <v>9</v>
      </c>
      <c r="AK12" t="s">
        <v>1</v>
      </c>
      <c r="AL12" t="s">
        <v>2</v>
      </c>
      <c r="AM12" t="s">
        <v>3</v>
      </c>
      <c r="AN12" t="s">
        <v>4</v>
      </c>
      <c r="AQ12" s="4">
        <v>8.8571999999999997E-7</v>
      </c>
    </row>
    <row r="13" spans="1:43" x14ac:dyDescent="0.2">
      <c r="A13">
        <v>12</v>
      </c>
      <c r="B13" t="s">
        <v>29</v>
      </c>
      <c r="C13">
        <v>17.264853340625283</v>
      </c>
      <c r="D13" s="1">
        <v>22</v>
      </c>
      <c r="E13" t="s">
        <v>29</v>
      </c>
      <c r="F13">
        <v>20.88872683181016</v>
      </c>
      <c r="G13">
        <v>31</v>
      </c>
      <c r="H13" t="s">
        <v>29</v>
      </c>
      <c r="I13">
        <v>17.345548770430351</v>
      </c>
      <c r="J13">
        <v>31</v>
      </c>
      <c r="K13" t="s">
        <v>29</v>
      </c>
      <c r="L13">
        <v>17.093666666666667</v>
      </c>
      <c r="M13">
        <v>22</v>
      </c>
      <c r="N13" t="s">
        <v>29</v>
      </c>
      <c r="O13">
        <v>28.591017291559663</v>
      </c>
      <c r="P13">
        <v>37</v>
      </c>
      <c r="Q13" t="s">
        <v>29</v>
      </c>
      <c r="R13">
        <v>17.118466666666666</v>
      </c>
      <c r="S13">
        <v>24</v>
      </c>
      <c r="T13" t="s">
        <v>29</v>
      </c>
      <c r="U13">
        <v>13.507618704839302</v>
      </c>
      <c r="V13">
        <v>18</v>
      </c>
      <c r="W13" t="s">
        <v>29</v>
      </c>
      <c r="X13">
        <v>21.167472222222219</v>
      </c>
      <c r="Y13">
        <v>31</v>
      </c>
      <c r="Z13" t="s">
        <v>29</v>
      </c>
      <c r="AA13">
        <v>21.078513157894744</v>
      </c>
      <c r="AB13">
        <v>33</v>
      </c>
      <c r="AE13" t="s">
        <v>30</v>
      </c>
      <c r="AF13">
        <f>(AF8*0.000001)/2</f>
        <v>4.0580484027503229E-6</v>
      </c>
      <c r="AG13">
        <f t="shared" ref="AG13:AN14" si="0">(AG8*0.000001)/2</f>
        <v>3.3924620126130608E-6</v>
      </c>
      <c r="AH13">
        <f t="shared" si="0"/>
        <v>4.3618091347456082E-6</v>
      </c>
      <c r="AI13">
        <f t="shared" si="0"/>
        <v>3.715307102569821E-6</v>
      </c>
      <c r="AJ13">
        <f t="shared" si="0"/>
        <v>5.9776164688358227E-6</v>
      </c>
      <c r="AK13">
        <f t="shared" si="0"/>
        <v>3.2418779485204275E-6</v>
      </c>
      <c r="AL13">
        <f t="shared" si="0"/>
        <v>3.6671960402346305E-6</v>
      </c>
      <c r="AM13">
        <f t="shared" si="0"/>
        <v>4.198072996809769E-6</v>
      </c>
      <c r="AN13">
        <f t="shared" si="0"/>
        <v>5.9716794117854171E-6</v>
      </c>
      <c r="AQ13" s="4">
        <v>8.8305999999999998E-6</v>
      </c>
    </row>
    <row r="14" spans="1:43" x14ac:dyDescent="0.2">
      <c r="A14">
        <v>13</v>
      </c>
      <c r="B14" t="s">
        <v>29</v>
      </c>
      <c r="C14">
        <v>16.846238993710696</v>
      </c>
      <c r="D14" s="1">
        <v>22</v>
      </c>
      <c r="E14" t="s">
        <v>29</v>
      </c>
      <c r="F14">
        <v>21.671279835390948</v>
      </c>
      <c r="G14">
        <v>31</v>
      </c>
      <c r="H14" t="s">
        <v>29</v>
      </c>
      <c r="I14">
        <v>18.802597222222218</v>
      </c>
      <c r="J14">
        <v>31</v>
      </c>
      <c r="K14" t="s">
        <v>29</v>
      </c>
      <c r="L14">
        <v>17.92711111111111</v>
      </c>
      <c r="M14">
        <v>22</v>
      </c>
      <c r="N14" t="s">
        <v>29</v>
      </c>
      <c r="O14">
        <v>30.400410118130452</v>
      </c>
      <c r="P14">
        <v>37</v>
      </c>
      <c r="Q14" t="s">
        <v>29</v>
      </c>
      <c r="R14">
        <v>17.118466666666666</v>
      </c>
      <c r="S14">
        <v>24</v>
      </c>
      <c r="T14" t="s">
        <v>29</v>
      </c>
      <c r="U14">
        <v>13.929487487487494</v>
      </c>
      <c r="V14">
        <v>18</v>
      </c>
      <c r="W14" t="s">
        <v>29</v>
      </c>
      <c r="X14">
        <v>22.381124999999997</v>
      </c>
      <c r="Y14">
        <v>31</v>
      </c>
      <c r="Z14" t="s">
        <v>29</v>
      </c>
      <c r="AA14">
        <v>23.978940058479541</v>
      </c>
      <c r="AB14">
        <v>33</v>
      </c>
      <c r="AE14" t="s">
        <v>29</v>
      </c>
      <c r="AF14">
        <f>(AF9*0.000001)/2</f>
        <v>9.9828697792239931E-6</v>
      </c>
      <c r="AG14">
        <f t="shared" si="0"/>
        <v>1.3189571635939085E-5</v>
      </c>
      <c r="AH14">
        <f t="shared" si="0"/>
        <v>1.2859088208828339E-5</v>
      </c>
      <c r="AI14">
        <f t="shared" si="0"/>
        <v>1.0176061550091367E-5</v>
      </c>
      <c r="AJ14">
        <f t="shared" si="0"/>
        <v>1.6581642098592659E-5</v>
      </c>
      <c r="AK14">
        <f t="shared" si="0"/>
        <v>1.0957030928930609E-5</v>
      </c>
      <c r="AL14">
        <f t="shared" si="0"/>
        <v>8.1762592261227208E-6</v>
      </c>
      <c r="AM14">
        <f t="shared" si="0"/>
        <v>1.3876213831805063E-5</v>
      </c>
      <c r="AN14">
        <f t="shared" si="0"/>
        <v>1.5325495220174197E-5</v>
      </c>
      <c r="AQ14" s="4">
        <v>3.4257000000000001E-6</v>
      </c>
    </row>
    <row r="15" spans="1:43" x14ac:dyDescent="0.2">
      <c r="A15">
        <v>14</v>
      </c>
      <c r="B15" t="s">
        <v>29</v>
      </c>
      <c r="C15">
        <v>18.921154862820163</v>
      </c>
      <c r="D15" s="1">
        <v>22</v>
      </c>
      <c r="E15" t="s">
        <v>29</v>
      </c>
      <c r="F15">
        <v>20.751379148629145</v>
      </c>
      <c r="G15">
        <v>31</v>
      </c>
      <c r="H15" t="s">
        <v>29</v>
      </c>
      <c r="I15">
        <v>20.201102726545709</v>
      </c>
      <c r="J15">
        <v>31</v>
      </c>
      <c r="K15" t="s">
        <v>29</v>
      </c>
      <c r="L15">
        <v>18.760555555555555</v>
      </c>
      <c r="M15">
        <v>22</v>
      </c>
      <c r="N15" t="s">
        <v>29</v>
      </c>
      <c r="O15">
        <v>31.540505906522867</v>
      </c>
      <c r="P15">
        <v>37</v>
      </c>
      <c r="Q15" t="s">
        <v>29</v>
      </c>
      <c r="R15">
        <v>17.118466666666666</v>
      </c>
      <c r="S15">
        <v>24</v>
      </c>
      <c r="T15" t="s">
        <v>29</v>
      </c>
      <c r="U15">
        <v>15.092816736904977</v>
      </c>
      <c r="V15">
        <v>18</v>
      </c>
      <c r="W15" t="s">
        <v>29</v>
      </c>
      <c r="X15">
        <v>24.179000000000002</v>
      </c>
      <c r="Y15">
        <v>31</v>
      </c>
      <c r="Z15" t="s">
        <v>29</v>
      </c>
      <c r="AA15">
        <v>27.181697368421052</v>
      </c>
      <c r="AB15">
        <v>33</v>
      </c>
      <c r="AQ15" s="4">
        <v>1.5031999999999999E-5</v>
      </c>
    </row>
    <row r="16" spans="1:43" x14ac:dyDescent="0.2">
      <c r="A16">
        <v>15</v>
      </c>
      <c r="B16" t="s">
        <v>29</v>
      </c>
      <c r="C16">
        <v>20.796849876948318</v>
      </c>
      <c r="D16" s="1">
        <v>22</v>
      </c>
      <c r="E16" t="s">
        <v>29</v>
      </c>
      <c r="F16">
        <v>21.724325316658661</v>
      </c>
      <c r="G16">
        <v>31</v>
      </c>
      <c r="H16" t="s">
        <v>29</v>
      </c>
      <c r="I16">
        <v>21.627689946018894</v>
      </c>
      <c r="J16">
        <v>31</v>
      </c>
      <c r="K16" t="s">
        <v>29</v>
      </c>
      <c r="L16">
        <v>18.760555555555555</v>
      </c>
      <c r="M16">
        <v>22</v>
      </c>
      <c r="N16" t="s">
        <v>29</v>
      </c>
      <c r="O16">
        <v>29.476472350624917</v>
      </c>
      <c r="P16">
        <v>37</v>
      </c>
      <c r="Q16" t="s">
        <v>29</v>
      </c>
      <c r="R16">
        <v>19.179752380952383</v>
      </c>
      <c r="S16">
        <v>24</v>
      </c>
      <c r="T16" t="s">
        <v>29</v>
      </c>
      <c r="U16">
        <v>15.642395874866461</v>
      </c>
      <c r="V16">
        <v>18</v>
      </c>
      <c r="W16" t="s">
        <v>29</v>
      </c>
      <c r="X16">
        <v>24.669019841269844</v>
      </c>
      <c r="Y16">
        <v>31</v>
      </c>
      <c r="Z16" t="s">
        <v>29</v>
      </c>
      <c r="AA16">
        <v>26.642340643274839</v>
      </c>
      <c r="AB16">
        <v>33</v>
      </c>
      <c r="AF16" t="s">
        <v>86</v>
      </c>
      <c r="AG16" t="s">
        <v>96</v>
      </c>
      <c r="AQ16" s="4">
        <v>1.1422000000000001E-6</v>
      </c>
    </row>
    <row r="17" spans="1:43" x14ac:dyDescent="0.2">
      <c r="A17">
        <v>16</v>
      </c>
      <c r="B17" t="s">
        <v>29</v>
      </c>
      <c r="C17">
        <v>21.674307902652444</v>
      </c>
      <c r="D17" s="1">
        <v>22</v>
      </c>
      <c r="E17" t="s">
        <v>29</v>
      </c>
      <c r="F17">
        <v>22.506308214419334</v>
      </c>
      <c r="G17">
        <v>31</v>
      </c>
      <c r="H17" t="s">
        <v>29</v>
      </c>
      <c r="I17">
        <v>21.481863235367623</v>
      </c>
      <c r="J17">
        <v>31</v>
      </c>
      <c r="K17" t="s">
        <v>29</v>
      </c>
      <c r="L17">
        <v>19.249055555555554</v>
      </c>
      <c r="M17">
        <v>22</v>
      </c>
      <c r="N17" t="s">
        <v>29</v>
      </c>
      <c r="O17">
        <v>33.996913542201675</v>
      </c>
      <c r="P17">
        <v>37</v>
      </c>
      <c r="Q17" t="s">
        <v>29</v>
      </c>
      <c r="R17">
        <v>20.00426666666667</v>
      </c>
      <c r="S17">
        <v>24</v>
      </c>
      <c r="T17" t="s">
        <v>29</v>
      </c>
      <c r="U17">
        <v>15.97852286740523</v>
      </c>
      <c r="V17">
        <v>18</v>
      </c>
      <c r="W17" t="s">
        <v>29</v>
      </c>
      <c r="X17">
        <v>26.451333333333338</v>
      </c>
      <c r="Y17">
        <v>31</v>
      </c>
      <c r="Z17" t="s">
        <v>29</v>
      </c>
      <c r="AA17">
        <v>28.138625730994146</v>
      </c>
      <c r="AB17">
        <v>33</v>
      </c>
      <c r="AE17" t="s">
        <v>35</v>
      </c>
      <c r="AF17">
        <f>AF13</f>
        <v>4.0580484027503229E-6</v>
      </c>
      <c r="AG17">
        <f>AF8*0.000001</f>
        <v>8.1160968055006459E-6</v>
      </c>
      <c r="AQ17" s="4">
        <v>9.5936000000000008E-6</v>
      </c>
    </row>
    <row r="18" spans="1:43" x14ac:dyDescent="0.2">
      <c r="A18">
        <v>17</v>
      </c>
      <c r="B18" t="s">
        <v>29</v>
      </c>
      <c r="C18">
        <v>21.902550906936469</v>
      </c>
      <c r="D18" s="1">
        <v>22</v>
      </c>
      <c r="E18" t="s">
        <v>29</v>
      </c>
      <c r="F18">
        <v>24.023316137566137</v>
      </c>
      <c r="G18">
        <v>31</v>
      </c>
      <c r="H18" t="s">
        <v>29</v>
      </c>
      <c r="I18">
        <v>22.304419515669508</v>
      </c>
      <c r="J18">
        <v>31</v>
      </c>
      <c r="K18" t="s">
        <v>29</v>
      </c>
      <c r="L18">
        <v>19.869055555555551</v>
      </c>
      <c r="M18">
        <v>22</v>
      </c>
      <c r="N18" t="s">
        <v>29</v>
      </c>
      <c r="O18">
        <v>31.538765622324945</v>
      </c>
      <c r="P18">
        <v>37</v>
      </c>
      <c r="Q18" t="s">
        <v>29</v>
      </c>
      <c r="R18">
        <v>20.00426666666667</v>
      </c>
      <c r="S18">
        <v>24</v>
      </c>
      <c r="T18" t="s">
        <v>29</v>
      </c>
      <c r="U18">
        <v>15.648944911297841</v>
      </c>
      <c r="V18">
        <v>18</v>
      </c>
      <c r="W18" t="s">
        <v>29</v>
      </c>
      <c r="X18">
        <v>27.216853174603184</v>
      </c>
      <c r="Y18">
        <v>31</v>
      </c>
      <c r="Z18" t="s">
        <v>29</v>
      </c>
      <c r="AA18">
        <v>30.773994152046797</v>
      </c>
      <c r="AB18">
        <v>33</v>
      </c>
      <c r="AE18" t="s">
        <v>34</v>
      </c>
      <c r="AF18">
        <f>AF14</f>
        <v>9.9828697792239931E-6</v>
      </c>
      <c r="AG18">
        <f>AF9*0.000001</f>
        <v>1.9965739558447986E-5</v>
      </c>
      <c r="AQ18" s="4">
        <v>2.1299000000000001E-6</v>
      </c>
    </row>
    <row r="19" spans="1:43" x14ac:dyDescent="0.2">
      <c r="A19">
        <v>18</v>
      </c>
      <c r="B19" t="s">
        <v>29</v>
      </c>
      <c r="C19">
        <v>21.304055783429046</v>
      </c>
      <c r="D19" s="1">
        <v>22</v>
      </c>
      <c r="E19" t="s">
        <v>29</v>
      </c>
      <c r="F19">
        <v>25.591051867885199</v>
      </c>
      <c r="G19">
        <v>31</v>
      </c>
      <c r="H19" t="s">
        <v>29</v>
      </c>
      <c r="I19">
        <v>23.601651034637872</v>
      </c>
      <c r="J19">
        <v>31</v>
      </c>
      <c r="K19" t="s">
        <v>29</v>
      </c>
      <c r="L19">
        <v>20.130055555555554</v>
      </c>
      <c r="M19">
        <v>22</v>
      </c>
      <c r="N19" t="s">
        <v>29</v>
      </c>
      <c r="O19">
        <v>32.37755658277694</v>
      </c>
      <c r="P19">
        <v>37</v>
      </c>
      <c r="Q19" t="s">
        <v>29</v>
      </c>
      <c r="R19">
        <v>20.467580952380953</v>
      </c>
      <c r="S19">
        <v>24</v>
      </c>
      <c r="T19" t="s">
        <v>29</v>
      </c>
      <c r="U19">
        <v>14.355229346994053</v>
      </c>
      <c r="V19">
        <v>18</v>
      </c>
      <c r="W19" t="s">
        <v>29</v>
      </c>
      <c r="X19">
        <v>27.662297619047621</v>
      </c>
      <c r="Y19">
        <v>31</v>
      </c>
      <c r="Z19" t="s">
        <v>29</v>
      </c>
      <c r="AA19">
        <v>28.35614181286552</v>
      </c>
      <c r="AB19">
        <v>33</v>
      </c>
      <c r="AE19" t="s">
        <v>36</v>
      </c>
      <c r="AF19">
        <f>AG13</f>
        <v>3.3924620126130608E-6</v>
      </c>
      <c r="AG19">
        <f>AG8*0.000001</f>
        <v>6.7849240252261216E-6</v>
      </c>
      <c r="AQ19" s="4">
        <v>7.3359999999999997E-6</v>
      </c>
    </row>
    <row r="20" spans="1:43" x14ac:dyDescent="0.2">
      <c r="A20">
        <v>19</v>
      </c>
      <c r="B20" t="s">
        <v>29</v>
      </c>
      <c r="C20">
        <v>21.17182955063349</v>
      </c>
      <c r="D20" s="1">
        <v>22</v>
      </c>
      <c r="E20" t="s">
        <v>29</v>
      </c>
      <c r="F20">
        <v>25.423909184436969</v>
      </c>
      <c r="G20">
        <v>31</v>
      </c>
      <c r="H20" t="s">
        <v>29</v>
      </c>
      <c r="I20">
        <v>25.337316095616526</v>
      </c>
      <c r="J20">
        <v>31</v>
      </c>
      <c r="K20" t="s">
        <v>29</v>
      </c>
      <c r="L20">
        <v>20.433909722222221</v>
      </c>
      <c r="M20">
        <v>22</v>
      </c>
      <c r="N20" t="s">
        <v>29</v>
      </c>
      <c r="O20">
        <v>33.758664098613231</v>
      </c>
      <c r="P20">
        <v>37</v>
      </c>
      <c r="Q20" t="s">
        <v>29</v>
      </c>
      <c r="R20">
        <v>23.247466666666664</v>
      </c>
      <c r="S20">
        <v>24</v>
      </c>
      <c r="T20" t="s">
        <v>29</v>
      </c>
      <c r="U20">
        <v>14.236091114223475</v>
      </c>
      <c r="V20">
        <v>18</v>
      </c>
      <c r="W20" t="s">
        <v>29</v>
      </c>
      <c r="X20">
        <v>27.200368055555554</v>
      </c>
      <c r="Y20">
        <v>31</v>
      </c>
      <c r="Z20" t="s">
        <v>29</v>
      </c>
      <c r="AA20">
        <v>31.089961988304086</v>
      </c>
      <c r="AB20">
        <v>33</v>
      </c>
      <c r="AE20" t="s">
        <v>37</v>
      </c>
      <c r="AF20">
        <f>AG14</f>
        <v>1.3189571635939085E-5</v>
      </c>
      <c r="AG20">
        <f>AG9*0.000001</f>
        <v>2.6379143271878169E-5</v>
      </c>
      <c r="AQ20" s="4">
        <v>1.7689999999999999E-6</v>
      </c>
    </row>
    <row r="21" spans="1:43" x14ac:dyDescent="0.2">
      <c r="A21">
        <v>20</v>
      </c>
      <c r="B21" t="s">
        <v>29</v>
      </c>
      <c r="C21">
        <v>19.71355974842767</v>
      </c>
      <c r="D21" s="1">
        <v>22</v>
      </c>
      <c r="E21" t="s">
        <v>29</v>
      </c>
      <c r="F21">
        <v>25.446501924001925</v>
      </c>
      <c r="G21">
        <v>31</v>
      </c>
      <c r="H21" t="s">
        <v>29</v>
      </c>
      <c r="I21">
        <v>26.273916379267263</v>
      </c>
      <c r="J21">
        <v>31</v>
      </c>
      <c r="K21" t="s">
        <v>29</v>
      </c>
      <c r="L21">
        <v>20.562472222222222</v>
      </c>
      <c r="M21">
        <v>22</v>
      </c>
      <c r="N21" t="s">
        <v>29</v>
      </c>
      <c r="O21">
        <v>32.769612737544954</v>
      </c>
      <c r="P21">
        <v>37</v>
      </c>
      <c r="Q21" t="s">
        <v>29</v>
      </c>
      <c r="R21">
        <v>23.247466666666664</v>
      </c>
      <c r="S21">
        <v>24</v>
      </c>
      <c r="T21" t="s">
        <v>29</v>
      </c>
      <c r="U21">
        <v>16.483166708725538</v>
      </c>
      <c r="V21">
        <v>18</v>
      </c>
      <c r="W21" t="s">
        <v>29</v>
      </c>
      <c r="X21">
        <v>28.275690476190466</v>
      </c>
      <c r="Y21">
        <v>31</v>
      </c>
      <c r="Z21" t="s">
        <v>29</v>
      </c>
      <c r="AA21">
        <v>30.016071637426894</v>
      </c>
      <c r="AB21">
        <v>33</v>
      </c>
      <c r="AE21" s="1" t="s">
        <v>40</v>
      </c>
      <c r="AF21">
        <f>AH13</f>
        <v>4.3618091347456082E-6</v>
      </c>
      <c r="AG21">
        <f>AH8*0.000001</f>
        <v>8.7236182694912163E-6</v>
      </c>
      <c r="AQ21" s="4">
        <v>1.2364000000000001E-5</v>
      </c>
    </row>
    <row r="22" spans="1:43" x14ac:dyDescent="0.2">
      <c r="A22">
        <v>21</v>
      </c>
      <c r="B22" t="s">
        <v>29</v>
      </c>
      <c r="C22">
        <v>18.962024245738768</v>
      </c>
      <c r="D22" s="1">
        <v>22</v>
      </c>
      <c r="E22" t="s">
        <v>29</v>
      </c>
      <c r="F22">
        <v>24.519357850996727</v>
      </c>
      <c r="G22">
        <v>31</v>
      </c>
      <c r="H22" t="s">
        <v>29</v>
      </c>
      <c r="I22">
        <v>24.728363603988601</v>
      </c>
      <c r="J22">
        <v>31</v>
      </c>
      <c r="K22" t="s">
        <v>29</v>
      </c>
      <c r="L22">
        <v>19.876805555555556</v>
      </c>
      <c r="M22">
        <v>22</v>
      </c>
      <c r="N22" t="s">
        <v>29</v>
      </c>
      <c r="O22">
        <v>33.955769388803269</v>
      </c>
      <c r="P22">
        <v>37</v>
      </c>
      <c r="Q22" t="s">
        <v>29</v>
      </c>
      <c r="R22">
        <v>23.247466666666664</v>
      </c>
      <c r="S22">
        <v>24</v>
      </c>
      <c r="T22" t="s">
        <v>29</v>
      </c>
      <c r="U22">
        <v>15.705409291644587</v>
      </c>
      <c r="V22">
        <v>18</v>
      </c>
      <c r="W22" t="s">
        <v>29</v>
      </c>
      <c r="X22">
        <v>29.18323611111111</v>
      </c>
      <c r="Y22">
        <v>31</v>
      </c>
      <c r="Z22" t="s">
        <v>29</v>
      </c>
      <c r="AA22">
        <v>30.504713450292371</v>
      </c>
      <c r="AB22">
        <v>33</v>
      </c>
      <c r="AE22" s="1" t="s">
        <v>41</v>
      </c>
      <c r="AF22">
        <f>AH14</f>
        <v>1.2859088208828339E-5</v>
      </c>
      <c r="AG22">
        <f>AH9*0.000001</f>
        <v>2.5718176417656678E-5</v>
      </c>
      <c r="AQ22" s="4">
        <v>2.3398E-6</v>
      </c>
    </row>
    <row r="23" spans="1:43" x14ac:dyDescent="0.2">
      <c r="A23">
        <v>22</v>
      </c>
      <c r="B23" t="s">
        <v>29</v>
      </c>
      <c r="C23">
        <v>20.521372709871478</v>
      </c>
      <c r="D23" s="1">
        <v>22</v>
      </c>
      <c r="E23" t="s">
        <v>29</v>
      </c>
      <c r="F23">
        <v>25.525185719630155</v>
      </c>
      <c r="G23">
        <v>31</v>
      </c>
      <c r="H23" t="s">
        <v>29</v>
      </c>
      <c r="I23">
        <v>24.583965924426451</v>
      </c>
      <c r="J23">
        <v>31</v>
      </c>
      <c r="K23" t="s">
        <v>29</v>
      </c>
      <c r="L23">
        <v>19.731097222222225</v>
      </c>
      <c r="M23">
        <v>22</v>
      </c>
      <c r="N23" t="s">
        <v>29</v>
      </c>
      <c r="O23">
        <v>32.634015065913381</v>
      </c>
      <c r="P23">
        <v>37</v>
      </c>
      <c r="Q23" t="s">
        <v>29</v>
      </c>
      <c r="R23">
        <v>22.373752380952382</v>
      </c>
      <c r="S23">
        <v>24</v>
      </c>
      <c r="T23" t="s">
        <v>29</v>
      </c>
      <c r="U23">
        <v>15.53053174392879</v>
      </c>
      <c r="V23">
        <v>18</v>
      </c>
      <c r="W23" t="s">
        <v>29</v>
      </c>
      <c r="X23">
        <v>29.328257936507942</v>
      </c>
      <c r="Y23">
        <v>31</v>
      </c>
      <c r="Z23" t="s">
        <v>29</v>
      </c>
      <c r="AA23">
        <v>29.85340058479532</v>
      </c>
      <c r="AB23">
        <v>33</v>
      </c>
      <c r="AE23" s="1" t="s">
        <v>38</v>
      </c>
      <c r="AF23">
        <f>AI13</f>
        <v>3.715307102569821E-6</v>
      </c>
      <c r="AG23">
        <f>AI8*0.000001</f>
        <v>7.4306142051396421E-6</v>
      </c>
      <c r="AQ23" s="4">
        <v>1.3267E-5</v>
      </c>
    </row>
    <row r="24" spans="1:43" x14ac:dyDescent="0.2">
      <c r="A24">
        <v>23</v>
      </c>
      <c r="B24" t="s">
        <v>29</v>
      </c>
      <c r="C24">
        <v>21.051588733934913</v>
      </c>
      <c r="D24" s="1">
        <v>22</v>
      </c>
      <c r="E24" t="s">
        <v>29</v>
      </c>
      <c r="F24">
        <v>27.667286876703546</v>
      </c>
      <c r="G24">
        <v>31</v>
      </c>
      <c r="H24" t="s">
        <v>29</v>
      </c>
      <c r="I24">
        <v>25.051733955615543</v>
      </c>
      <c r="J24">
        <v>31</v>
      </c>
      <c r="K24" t="s">
        <v>29</v>
      </c>
      <c r="L24">
        <v>19.273055555555558</v>
      </c>
      <c r="M24">
        <v>22</v>
      </c>
      <c r="N24" t="s">
        <v>29</v>
      </c>
      <c r="O24">
        <v>36.444758431775384</v>
      </c>
      <c r="P24">
        <v>37</v>
      </c>
      <c r="Q24" t="s">
        <v>29</v>
      </c>
      <c r="R24">
        <v>21.718466666666671</v>
      </c>
      <c r="S24">
        <v>24</v>
      </c>
      <c r="T24" t="s">
        <v>29</v>
      </c>
      <c r="U24">
        <v>16.891995733128095</v>
      </c>
      <c r="V24">
        <v>18</v>
      </c>
      <c r="W24" t="s">
        <v>29</v>
      </c>
      <c r="X24">
        <v>28.884233796296297</v>
      </c>
      <c r="Y24">
        <v>31</v>
      </c>
      <c r="Z24" t="s">
        <v>29</v>
      </c>
      <c r="AA24">
        <v>30.935163742690047</v>
      </c>
      <c r="AB24">
        <v>33</v>
      </c>
      <c r="AE24" s="1" t="s">
        <v>39</v>
      </c>
      <c r="AF24">
        <f>AI14</f>
        <v>1.0176061550091367E-5</v>
      </c>
      <c r="AG24">
        <f>AI9*0.000001</f>
        <v>2.0352123100182735E-5</v>
      </c>
    </row>
    <row r="25" spans="1:43" x14ac:dyDescent="0.2">
      <c r="A25">
        <v>24</v>
      </c>
      <c r="B25" t="s">
        <v>29</v>
      </c>
      <c r="C25">
        <v>19.200244918421294</v>
      </c>
      <c r="D25" s="1">
        <v>22</v>
      </c>
      <c r="E25" t="s">
        <v>29</v>
      </c>
      <c r="F25">
        <v>27.858768932713378</v>
      </c>
      <c r="G25">
        <v>31</v>
      </c>
      <c r="H25" t="s">
        <v>29</v>
      </c>
      <c r="I25">
        <v>26.742986929574641</v>
      </c>
      <c r="J25">
        <v>31</v>
      </c>
      <c r="K25" t="s">
        <v>29</v>
      </c>
      <c r="L25">
        <v>19.834972222222223</v>
      </c>
      <c r="M25">
        <v>22</v>
      </c>
      <c r="N25" t="s">
        <v>29</v>
      </c>
      <c r="O25">
        <v>34.107936141071718</v>
      </c>
      <c r="P25">
        <v>37</v>
      </c>
      <c r="Q25" t="s">
        <v>29</v>
      </c>
      <c r="R25">
        <v>21.718466666666671</v>
      </c>
      <c r="S25">
        <v>24</v>
      </c>
      <c r="T25" t="s">
        <v>29</v>
      </c>
      <c r="U25">
        <v>17.467772137683895</v>
      </c>
      <c r="V25">
        <v>18</v>
      </c>
      <c r="W25" t="s">
        <v>29</v>
      </c>
      <c r="X25">
        <v>27.059732142857147</v>
      </c>
      <c r="Y25">
        <v>31</v>
      </c>
      <c r="Z25" t="s">
        <v>29</v>
      </c>
      <c r="AA25">
        <v>31.703761695906433</v>
      </c>
      <c r="AB25">
        <v>33</v>
      </c>
      <c r="AE25" s="1" t="s">
        <v>42</v>
      </c>
      <c r="AF25">
        <f>AJ13</f>
        <v>5.9776164688358227E-6</v>
      </c>
      <c r="AG25">
        <f>AJ8*0.000001</f>
        <v>1.1955232937671645E-5</v>
      </c>
    </row>
    <row r="26" spans="1:43" x14ac:dyDescent="0.2">
      <c r="A26">
        <v>25</v>
      </c>
      <c r="B26" t="s">
        <v>29</v>
      </c>
      <c r="C26">
        <v>18.730188679245284</v>
      </c>
      <c r="D26" s="1">
        <v>22</v>
      </c>
      <c r="E26" t="s">
        <v>29</v>
      </c>
      <c r="F26">
        <v>29.200305702527931</v>
      </c>
      <c r="G26">
        <v>31</v>
      </c>
      <c r="H26" t="s">
        <v>29</v>
      </c>
      <c r="I26">
        <v>29.20416559829059</v>
      </c>
      <c r="J26">
        <v>31</v>
      </c>
      <c r="K26" t="s">
        <v>29</v>
      </c>
      <c r="L26">
        <v>19.834972222222223</v>
      </c>
      <c r="M26">
        <v>22</v>
      </c>
      <c r="N26" t="s">
        <v>29</v>
      </c>
      <c r="O26">
        <v>31.960072761513427</v>
      </c>
      <c r="P26">
        <v>37</v>
      </c>
      <c r="Q26" t="s">
        <v>29</v>
      </c>
      <c r="R26">
        <v>21.718466666666671</v>
      </c>
      <c r="S26">
        <v>24</v>
      </c>
      <c r="T26" t="s">
        <v>29</v>
      </c>
      <c r="U26">
        <v>17.708123297667413</v>
      </c>
      <c r="V26">
        <v>18</v>
      </c>
      <c r="W26" t="s">
        <v>29</v>
      </c>
      <c r="X26">
        <v>26.494055555555562</v>
      </c>
      <c r="Y26">
        <v>31</v>
      </c>
      <c r="Z26" t="s">
        <v>29</v>
      </c>
      <c r="AA26">
        <v>28.809907894736863</v>
      </c>
      <c r="AB26">
        <v>33</v>
      </c>
      <c r="AE26" s="1" t="s">
        <v>43</v>
      </c>
      <c r="AF26">
        <f>AJ14</f>
        <v>1.6581642098592659E-5</v>
      </c>
      <c r="AG26">
        <f>AJ9*0.000001</f>
        <v>3.3163284197185317E-5</v>
      </c>
    </row>
    <row r="27" spans="1:43" x14ac:dyDescent="0.2">
      <c r="C27" t="s">
        <v>84</v>
      </c>
      <c r="D27" t="s">
        <v>83</v>
      </c>
      <c r="F27" t="s">
        <v>84</v>
      </c>
      <c r="G27" t="s">
        <v>83</v>
      </c>
      <c r="I27" t="s">
        <v>84</v>
      </c>
      <c r="J27" t="s">
        <v>83</v>
      </c>
      <c r="L27" t="s">
        <v>84</v>
      </c>
      <c r="M27" t="s">
        <v>83</v>
      </c>
      <c r="O27" t="s">
        <v>84</v>
      </c>
      <c r="P27" t="s">
        <v>83</v>
      </c>
      <c r="R27" t="s">
        <v>84</v>
      </c>
      <c r="S27" t="s">
        <v>83</v>
      </c>
      <c r="U27" t="s">
        <v>84</v>
      </c>
      <c r="V27" t="s">
        <v>83</v>
      </c>
      <c r="X27" t="s">
        <v>84</v>
      </c>
      <c r="Y27" t="s">
        <v>83</v>
      </c>
      <c r="AA27" t="s">
        <v>84</v>
      </c>
      <c r="AB27" t="s">
        <v>83</v>
      </c>
      <c r="AE27" t="s">
        <v>44</v>
      </c>
      <c r="AF27">
        <f>AK13</f>
        <v>3.2418779485204275E-6</v>
      </c>
      <c r="AG27">
        <f>AK8*0.000001</f>
        <v>6.483755897040855E-6</v>
      </c>
    </row>
    <row r="28" spans="1:43" x14ac:dyDescent="0.2">
      <c r="A28">
        <v>1</v>
      </c>
      <c r="B28" t="s">
        <v>30</v>
      </c>
      <c r="C28">
        <f>D28^4</f>
        <v>1065.1310018391248</v>
      </c>
      <c r="D28">
        <f t="shared" ref="D28:D52" si="1">(2*C2*D2)/(C2+D2)</f>
        <v>5.7128228398050842</v>
      </c>
      <c r="E28" t="s">
        <v>30</v>
      </c>
      <c r="F28">
        <f>G28^4</f>
        <v>59.473503024134885</v>
      </c>
      <c r="G28">
        <f>(2*F2*G2)/(F2+G2)</f>
        <v>2.7770319722986629</v>
      </c>
      <c r="H28" t="s">
        <v>30</v>
      </c>
      <c r="I28">
        <f>J28^4</f>
        <v>286.02510875624625</v>
      </c>
      <c r="J28">
        <f>(2*I2*J2)/(I2+J2)</f>
        <v>4.1124538738976639</v>
      </c>
      <c r="K28" t="s">
        <v>30</v>
      </c>
      <c r="L28">
        <f>M28^4</f>
        <v>86.704331821840768</v>
      </c>
      <c r="M28">
        <f>(2*L2*M2)/(L2+M2)</f>
        <v>3.0514776889414756</v>
      </c>
      <c r="N28" t="s">
        <v>30</v>
      </c>
      <c r="O28">
        <f>P28^4</f>
        <v>320.31583460821736</v>
      </c>
      <c r="P28">
        <f>(2*O2*P2)/(O2+P2)</f>
        <v>4.2305282753468418</v>
      </c>
      <c r="Q28" s="1" t="s">
        <v>30</v>
      </c>
      <c r="R28">
        <f>S28^4</f>
        <v>81.300361224237434</v>
      </c>
      <c r="S28">
        <f>(2*R2*S2)/(R2+S2)</f>
        <v>3.0027772634697278</v>
      </c>
      <c r="T28" s="1" t="s">
        <v>30</v>
      </c>
      <c r="U28">
        <f>V28^4</f>
        <v>190.3711529669267</v>
      </c>
      <c r="V28">
        <f>(2*U2*V2)/(U2+V2)</f>
        <v>3.7144993359526719</v>
      </c>
      <c r="W28" s="1" t="s">
        <v>30</v>
      </c>
      <c r="X28">
        <f>Y28^4</f>
        <v>31.426568454004219</v>
      </c>
      <c r="Y28">
        <f>(2*X2*Y2)/(X2+Y2)</f>
        <v>2.3676867320560087</v>
      </c>
      <c r="Z28" s="1" t="s">
        <v>30</v>
      </c>
      <c r="AA28">
        <f>AB28^4</f>
        <v>300.60615891511583</v>
      </c>
      <c r="AB28">
        <f>(2*AA2*AB2)/(AA2+AB2)</f>
        <v>4.1638921151116275</v>
      </c>
      <c r="AE28" t="s">
        <v>45</v>
      </c>
      <c r="AF28">
        <f>AK14</f>
        <v>1.0957030928930609E-5</v>
      </c>
      <c r="AG28">
        <f>AK9*0.000001</f>
        <v>2.1914061857861217E-5</v>
      </c>
    </row>
    <row r="29" spans="1:43" x14ac:dyDescent="0.2">
      <c r="A29">
        <v>2</v>
      </c>
      <c r="B29" t="s">
        <v>30</v>
      </c>
      <c r="C29">
        <f t="shared" ref="C29:C52" si="2">D29^4</f>
        <v>1978.5020776736255</v>
      </c>
      <c r="D29">
        <f t="shared" si="1"/>
        <v>6.669359496048461</v>
      </c>
      <c r="E29" t="s">
        <v>30</v>
      </c>
      <c r="F29">
        <f t="shared" ref="F29:F52" si="3">G29^4</f>
        <v>130.10210700475793</v>
      </c>
      <c r="G29">
        <f t="shared" ref="G29:G52" si="4">(2*F3*G3)/(F3+G3)</f>
        <v>3.3773112175911204</v>
      </c>
      <c r="H29" t="s">
        <v>30</v>
      </c>
      <c r="I29">
        <f t="shared" ref="I29:I52" si="5">J29^4</f>
        <v>1335.6926795540155</v>
      </c>
      <c r="J29">
        <f t="shared" ref="J29:J52" si="6">(2*I3*J3)/(I3+J3)</f>
        <v>6.0454221991973043</v>
      </c>
      <c r="K29" t="s">
        <v>30</v>
      </c>
      <c r="L29">
        <f t="shared" ref="L29:L52" si="7">M29^4</f>
        <v>86.704331821840768</v>
      </c>
      <c r="M29">
        <f t="shared" ref="M29:M52" si="8">(2*L3*M3)/(L3+M3)</f>
        <v>3.0514776889414756</v>
      </c>
      <c r="N29" t="s">
        <v>30</v>
      </c>
      <c r="O29">
        <f t="shared" ref="O29:O52" si="9">P29^4</f>
        <v>4410.6689706639063</v>
      </c>
      <c r="P29">
        <f t="shared" ref="P29:P52" si="10">(2*O3*P3)/(O3+P3)</f>
        <v>8.1494090281575886</v>
      </c>
      <c r="Q29" s="1" t="s">
        <v>30</v>
      </c>
      <c r="R29">
        <f t="shared" ref="R29:R52" si="11">S29^4</f>
        <v>81.300361224237434</v>
      </c>
      <c r="S29">
        <f t="shared" ref="S29:S52" si="12">(2*R3*S3)/(R3+S3)</f>
        <v>3.0027772634697278</v>
      </c>
      <c r="T29" s="1" t="s">
        <v>30</v>
      </c>
      <c r="U29">
        <f t="shared" ref="U29:U52" si="13">V29^4</f>
        <v>720.74476520054918</v>
      </c>
      <c r="V29">
        <f t="shared" ref="V29:V52" si="14">(2*U3*V3)/(U3+V3)</f>
        <v>5.1813791622672198</v>
      </c>
      <c r="W29" s="1" t="s">
        <v>30</v>
      </c>
      <c r="X29">
        <f t="shared" ref="X29:X52" si="15">Y29^4</f>
        <v>55.44367756323571</v>
      </c>
      <c r="Y29">
        <f t="shared" ref="Y29:Y52" si="16">(2*X3*Y3)/(X3+Y3)</f>
        <v>2.7287453415275258</v>
      </c>
      <c r="Z29" s="1" t="s">
        <v>30</v>
      </c>
      <c r="AA29">
        <f t="shared" ref="AA29:AA52" si="17">AB29^4</f>
        <v>1274.9788150631323</v>
      </c>
      <c r="AB29">
        <f t="shared" ref="AB29:AB52" si="18">(2*AA3*AB3)/(AA3+AB3)</f>
        <v>5.9755205206768567</v>
      </c>
      <c r="AE29" t="s">
        <v>46</v>
      </c>
      <c r="AF29">
        <f>AL13</f>
        <v>3.6671960402346305E-6</v>
      </c>
      <c r="AG29">
        <f>AL8*0.000001</f>
        <v>7.334392080469261E-6</v>
      </c>
    </row>
    <row r="30" spans="1:43" x14ac:dyDescent="0.2">
      <c r="A30">
        <v>3</v>
      </c>
      <c r="B30" t="s">
        <v>30</v>
      </c>
      <c r="C30">
        <f t="shared" si="2"/>
        <v>3867.5253829974945</v>
      </c>
      <c r="D30">
        <f t="shared" si="1"/>
        <v>7.8860276084568044</v>
      </c>
      <c r="E30" t="s">
        <v>30</v>
      </c>
      <c r="F30">
        <f t="shared" si="3"/>
        <v>409.03310001063255</v>
      </c>
      <c r="G30">
        <f t="shared" si="4"/>
        <v>4.4971731948742244</v>
      </c>
      <c r="H30" t="s">
        <v>30</v>
      </c>
      <c r="I30">
        <f t="shared" si="5"/>
        <v>2773.7827289968982</v>
      </c>
      <c r="J30">
        <f t="shared" si="6"/>
        <v>7.257183590890512</v>
      </c>
      <c r="K30" t="s">
        <v>30</v>
      </c>
      <c r="L30">
        <f t="shared" si="7"/>
        <v>86.701989807803699</v>
      </c>
      <c r="M30">
        <f t="shared" si="8"/>
        <v>3.0514570824855394</v>
      </c>
      <c r="N30" t="s">
        <v>30</v>
      </c>
      <c r="O30">
        <f t="shared" si="9"/>
        <v>14488.37941389853</v>
      </c>
      <c r="P30">
        <f t="shared" si="10"/>
        <v>10.971220727845219</v>
      </c>
      <c r="Q30" s="1" t="s">
        <v>30</v>
      </c>
      <c r="R30">
        <f t="shared" si="11"/>
        <v>81.300361224237434</v>
      </c>
      <c r="S30">
        <f t="shared" si="12"/>
        <v>3.0027772634697278</v>
      </c>
      <c r="T30" s="1" t="s">
        <v>30</v>
      </c>
      <c r="U30">
        <f t="shared" si="13"/>
        <v>1153.6359602421403</v>
      </c>
      <c r="V30">
        <f t="shared" si="14"/>
        <v>5.8279685068935185</v>
      </c>
      <c r="W30" s="1" t="s">
        <v>30</v>
      </c>
      <c r="X30">
        <f t="shared" si="15"/>
        <v>227.84671002512479</v>
      </c>
      <c r="Y30">
        <f t="shared" si="16"/>
        <v>3.885175939232588</v>
      </c>
      <c r="Z30" s="1" t="s">
        <v>30</v>
      </c>
      <c r="AA30">
        <f t="shared" si="17"/>
        <v>927.19632352062263</v>
      </c>
      <c r="AB30">
        <f t="shared" si="18"/>
        <v>5.5181426748325819</v>
      </c>
      <c r="AE30" t="s">
        <v>47</v>
      </c>
      <c r="AF30">
        <f>AL14</f>
        <v>8.1762592261227208E-6</v>
      </c>
      <c r="AG30">
        <f>AL9*0.000001</f>
        <v>1.6352518452245442E-5</v>
      </c>
    </row>
    <row r="31" spans="1:43" x14ac:dyDescent="0.2">
      <c r="A31">
        <v>4</v>
      </c>
      <c r="B31" t="s">
        <v>30</v>
      </c>
      <c r="C31">
        <f t="shared" si="2"/>
        <v>6136.6169604584511</v>
      </c>
      <c r="D31">
        <f t="shared" si="1"/>
        <v>8.8507944328412034</v>
      </c>
      <c r="E31" t="s">
        <v>30</v>
      </c>
      <c r="F31">
        <f t="shared" si="3"/>
        <v>1193.3106172672794</v>
      </c>
      <c r="G31">
        <f t="shared" si="4"/>
        <v>5.8774423258559558</v>
      </c>
      <c r="H31" t="s">
        <v>30</v>
      </c>
      <c r="I31">
        <f t="shared" si="5"/>
        <v>5092.1966209308621</v>
      </c>
      <c r="J31">
        <f t="shared" si="6"/>
        <v>8.4474628610719016</v>
      </c>
      <c r="K31" t="s">
        <v>30</v>
      </c>
      <c r="L31">
        <f t="shared" si="7"/>
        <v>181.41858230504309</v>
      </c>
      <c r="M31">
        <f t="shared" si="8"/>
        <v>3.6700369960384491</v>
      </c>
      <c r="N31" t="s">
        <v>30</v>
      </c>
      <c r="O31">
        <f t="shared" si="9"/>
        <v>37214.445017815575</v>
      </c>
      <c r="P31">
        <f t="shared" si="10"/>
        <v>13.889220948260434</v>
      </c>
      <c r="Q31" s="1" t="s">
        <v>30</v>
      </c>
      <c r="R31">
        <f t="shared" si="11"/>
        <v>179.64672892029219</v>
      </c>
      <c r="S31">
        <f t="shared" si="12"/>
        <v>3.6610429884207227</v>
      </c>
      <c r="T31" s="1" t="s">
        <v>30</v>
      </c>
      <c r="U31">
        <f t="shared" si="13"/>
        <v>1763.2806269698422</v>
      </c>
      <c r="V31">
        <f t="shared" si="14"/>
        <v>6.4800798731238034</v>
      </c>
      <c r="W31" s="1" t="s">
        <v>30</v>
      </c>
      <c r="X31">
        <f t="shared" si="15"/>
        <v>713.13833971526799</v>
      </c>
      <c r="Y31">
        <f t="shared" si="16"/>
        <v>5.1676542213584273</v>
      </c>
      <c r="Z31" s="1" t="s">
        <v>30</v>
      </c>
      <c r="AA31">
        <f t="shared" si="17"/>
        <v>4167.7089382308604</v>
      </c>
      <c r="AB31">
        <f t="shared" si="18"/>
        <v>8.0347865766797781</v>
      </c>
      <c r="AE31" s="1" t="s">
        <v>48</v>
      </c>
      <c r="AF31">
        <f>AM13</f>
        <v>4.198072996809769E-6</v>
      </c>
      <c r="AG31">
        <f>AM8*0.000001</f>
        <v>8.3961459936195379E-6</v>
      </c>
    </row>
    <row r="32" spans="1:43" x14ac:dyDescent="0.2">
      <c r="A32">
        <v>5</v>
      </c>
      <c r="B32" t="s">
        <v>30</v>
      </c>
      <c r="C32">
        <f t="shared" si="2"/>
        <v>8647.1858018756375</v>
      </c>
      <c r="D32">
        <f t="shared" si="1"/>
        <v>9.6431450126557401</v>
      </c>
      <c r="E32" t="s">
        <v>30</v>
      </c>
      <c r="F32">
        <f t="shared" si="3"/>
        <v>2686.3156620978389</v>
      </c>
      <c r="G32">
        <f t="shared" si="4"/>
        <v>7.1992832529035544</v>
      </c>
      <c r="H32" t="s">
        <v>30</v>
      </c>
      <c r="I32">
        <f t="shared" si="5"/>
        <v>6732.2962769257147</v>
      </c>
      <c r="J32">
        <f t="shared" si="6"/>
        <v>9.0581770494995357</v>
      </c>
      <c r="K32" t="s">
        <v>30</v>
      </c>
      <c r="L32">
        <f t="shared" si="7"/>
        <v>198.8375304222937</v>
      </c>
      <c r="M32">
        <f t="shared" si="8"/>
        <v>3.7551266586248491</v>
      </c>
      <c r="N32" t="s">
        <v>30</v>
      </c>
      <c r="O32">
        <f t="shared" si="9"/>
        <v>45707.677245132145</v>
      </c>
      <c r="P32">
        <f t="shared" si="10"/>
        <v>14.621680437940284</v>
      </c>
      <c r="Q32" s="1" t="s">
        <v>30</v>
      </c>
      <c r="R32">
        <f t="shared" si="11"/>
        <v>393.48414290831289</v>
      </c>
      <c r="S32">
        <f t="shared" si="12"/>
        <v>4.4538112592241603</v>
      </c>
      <c r="T32" s="1" t="s">
        <v>30</v>
      </c>
      <c r="U32">
        <f t="shared" si="13"/>
        <v>2040.4625314127461</v>
      </c>
      <c r="V32">
        <f t="shared" si="14"/>
        <v>6.7209730829059593</v>
      </c>
      <c r="W32" s="1" t="s">
        <v>30</v>
      </c>
      <c r="X32">
        <f t="shared" si="15"/>
        <v>2492.2607801227418</v>
      </c>
      <c r="Y32">
        <f t="shared" si="16"/>
        <v>7.0655889926328452</v>
      </c>
      <c r="Z32" s="1" t="s">
        <v>30</v>
      </c>
      <c r="AA32">
        <f t="shared" si="17"/>
        <v>6237.9281391157965</v>
      </c>
      <c r="AB32">
        <f t="shared" si="18"/>
        <v>8.8871005085757258</v>
      </c>
      <c r="AE32" s="1" t="s">
        <v>49</v>
      </c>
      <c r="AF32">
        <f>AM14</f>
        <v>1.3876213831805063E-5</v>
      </c>
      <c r="AG32">
        <f>AM9*0.000001</f>
        <v>2.7752427663610127E-5</v>
      </c>
    </row>
    <row r="33" spans="1:40" x14ac:dyDescent="0.2">
      <c r="A33">
        <v>6</v>
      </c>
      <c r="B33" t="s">
        <v>29</v>
      </c>
      <c r="C33">
        <f t="shared" si="2"/>
        <v>41921.482595613124</v>
      </c>
      <c r="D33">
        <f t="shared" si="1"/>
        <v>14.308995871614021</v>
      </c>
      <c r="E33" t="s">
        <v>30</v>
      </c>
      <c r="F33">
        <f t="shared" si="3"/>
        <v>3978.9688562361648</v>
      </c>
      <c r="G33">
        <f t="shared" si="4"/>
        <v>7.9422332054165139</v>
      </c>
      <c r="H33" t="s">
        <v>30</v>
      </c>
      <c r="I33">
        <f t="shared" si="5"/>
        <v>10107.757075389509</v>
      </c>
      <c r="J33">
        <f t="shared" si="6"/>
        <v>10.026831089454625</v>
      </c>
      <c r="K33" t="s">
        <v>30</v>
      </c>
      <c r="L33">
        <f t="shared" si="7"/>
        <v>388.96612039183503</v>
      </c>
      <c r="M33">
        <f t="shared" si="8"/>
        <v>4.4409710675091461</v>
      </c>
      <c r="N33" t="s">
        <v>29</v>
      </c>
      <c r="O33">
        <f t="shared" si="9"/>
        <v>261548.2690654418</v>
      </c>
      <c r="P33">
        <f t="shared" si="10"/>
        <v>22.614550639158793</v>
      </c>
      <c r="Q33" s="1" t="s">
        <v>30</v>
      </c>
      <c r="R33">
        <f t="shared" si="11"/>
        <v>393.48414290831289</v>
      </c>
      <c r="S33">
        <f t="shared" si="12"/>
        <v>4.4538112592241603</v>
      </c>
      <c r="T33" s="1" t="s">
        <v>30</v>
      </c>
      <c r="U33">
        <f t="shared" si="13"/>
        <v>2307.9111049558614</v>
      </c>
      <c r="V33">
        <f t="shared" si="14"/>
        <v>6.9311415655482769</v>
      </c>
      <c r="W33" s="1" t="s">
        <v>30</v>
      </c>
      <c r="X33">
        <f t="shared" si="15"/>
        <v>6667.0846934352649</v>
      </c>
      <c r="Y33">
        <f t="shared" si="16"/>
        <v>9.0361616814524677</v>
      </c>
      <c r="Z33" s="1" t="s">
        <v>30</v>
      </c>
      <c r="AA33">
        <f t="shared" si="17"/>
        <v>10498.040669746706</v>
      </c>
      <c r="AB33">
        <f t="shared" si="18"/>
        <v>10.122250078952906</v>
      </c>
      <c r="AE33" s="1" t="s">
        <v>50</v>
      </c>
      <c r="AF33">
        <f>AN13</f>
        <v>5.9716794117854171E-6</v>
      </c>
      <c r="AG33">
        <f>AN8*0.000001</f>
        <v>1.1943358823570834E-5</v>
      </c>
    </row>
    <row r="34" spans="1:40" x14ac:dyDescent="0.2">
      <c r="A34">
        <v>7</v>
      </c>
      <c r="B34" t="s">
        <v>29</v>
      </c>
      <c r="C34">
        <f t="shared" si="2"/>
        <v>47610.930814020292</v>
      </c>
      <c r="D34">
        <f t="shared" si="1"/>
        <v>14.771570380521066</v>
      </c>
      <c r="E34" t="s">
        <v>30</v>
      </c>
      <c r="F34">
        <f t="shared" si="3"/>
        <v>6377.4697787868527</v>
      </c>
      <c r="G34">
        <f t="shared" si="4"/>
        <v>8.9363897615517303</v>
      </c>
      <c r="H34" t="s">
        <v>30</v>
      </c>
      <c r="I34">
        <f t="shared" si="5"/>
        <v>14212.334364881162</v>
      </c>
      <c r="J34">
        <f t="shared" si="6"/>
        <v>10.918584866630431</v>
      </c>
      <c r="K34" t="s">
        <v>30</v>
      </c>
      <c r="L34">
        <f t="shared" si="7"/>
        <v>4106.5361336058095</v>
      </c>
      <c r="M34">
        <f t="shared" si="8"/>
        <v>8.0051396413817031</v>
      </c>
      <c r="N34" t="s">
        <v>29</v>
      </c>
      <c r="O34">
        <f t="shared" si="9"/>
        <v>402880.03023135068</v>
      </c>
      <c r="P34">
        <f t="shared" si="10"/>
        <v>25.193814958029183</v>
      </c>
      <c r="Q34" s="1" t="s">
        <v>30</v>
      </c>
      <c r="R34">
        <f t="shared" si="11"/>
        <v>393.48414290831289</v>
      </c>
      <c r="S34">
        <f t="shared" si="12"/>
        <v>4.4538112592241603</v>
      </c>
      <c r="T34" s="1" t="s">
        <v>30</v>
      </c>
      <c r="U34">
        <f t="shared" si="13"/>
        <v>5207.1531661718254</v>
      </c>
      <c r="V34">
        <f t="shared" si="14"/>
        <v>8.4947399458447848</v>
      </c>
      <c r="W34" s="1" t="s">
        <v>30</v>
      </c>
      <c r="X34">
        <f t="shared" si="15"/>
        <v>11427.054697537151</v>
      </c>
      <c r="Y34">
        <f t="shared" si="16"/>
        <v>10.339120014282786</v>
      </c>
      <c r="Z34" s="1" t="s">
        <v>30</v>
      </c>
      <c r="AA34">
        <f t="shared" si="17"/>
        <v>12783.230185655826</v>
      </c>
      <c r="AB34">
        <f t="shared" si="18"/>
        <v>10.633106220213792</v>
      </c>
      <c r="AE34" s="1" t="s">
        <v>51</v>
      </c>
      <c r="AF34">
        <f>AN14</f>
        <v>1.5325495220174197E-5</v>
      </c>
      <c r="AG34">
        <f>AN9*0.000001</f>
        <v>3.0650990440348395E-5</v>
      </c>
    </row>
    <row r="35" spans="1:40" x14ac:dyDescent="0.2">
      <c r="A35">
        <v>8</v>
      </c>
      <c r="B35" t="s">
        <v>29</v>
      </c>
      <c r="C35">
        <f t="shared" si="2"/>
        <v>73209.233758484173</v>
      </c>
      <c r="D35">
        <f t="shared" si="1"/>
        <v>16.449074414931896</v>
      </c>
      <c r="E35" t="s">
        <v>29</v>
      </c>
      <c r="F35">
        <f t="shared" si="3"/>
        <v>63715.258259724134</v>
      </c>
      <c r="G35">
        <f t="shared" si="4"/>
        <v>15.887693828420904</v>
      </c>
      <c r="H35" t="s">
        <v>29</v>
      </c>
      <c r="I35">
        <f t="shared" si="5"/>
        <v>98608.54484377279</v>
      </c>
      <c r="J35">
        <f t="shared" si="6"/>
        <v>17.720608771442201</v>
      </c>
      <c r="K35" t="s">
        <v>30</v>
      </c>
      <c r="L35">
        <f t="shared" si="7"/>
        <v>9379.1513174712018</v>
      </c>
      <c r="M35">
        <f t="shared" si="8"/>
        <v>9.8410374754800536</v>
      </c>
      <c r="N35" t="s">
        <v>29</v>
      </c>
      <c r="O35">
        <f t="shared" si="9"/>
        <v>600326.83599207981</v>
      </c>
      <c r="P35">
        <f t="shared" si="10"/>
        <v>27.835366213587641</v>
      </c>
      <c r="Q35" s="1" t="s">
        <v>30</v>
      </c>
      <c r="R35">
        <f t="shared" si="11"/>
        <v>4648.8171526873284</v>
      </c>
      <c r="S35">
        <f t="shared" si="12"/>
        <v>8.2572534704954723</v>
      </c>
      <c r="T35" s="1" t="s">
        <v>30</v>
      </c>
      <c r="U35">
        <f t="shared" si="13"/>
        <v>9766.19987962499</v>
      </c>
      <c r="V35">
        <f t="shared" si="14"/>
        <v>9.9410304055388963</v>
      </c>
      <c r="W35" s="1" t="s">
        <v>30</v>
      </c>
      <c r="X35">
        <f t="shared" si="15"/>
        <v>18142.406504399787</v>
      </c>
      <c r="Y35">
        <f t="shared" si="16"/>
        <v>11.605763688760808</v>
      </c>
      <c r="Z35" s="1" t="s">
        <v>30</v>
      </c>
      <c r="AA35">
        <f t="shared" si="17"/>
        <v>16031.244414034058</v>
      </c>
      <c r="AB35">
        <f t="shared" si="18"/>
        <v>11.252313120512882</v>
      </c>
      <c r="AE35" s="10" t="s">
        <v>94</v>
      </c>
    </row>
    <row r="36" spans="1:40" x14ac:dyDescent="0.2">
      <c r="A36">
        <v>9</v>
      </c>
      <c r="B36" t="s">
        <v>29</v>
      </c>
      <c r="C36">
        <f t="shared" si="2"/>
        <v>100941.63072855068</v>
      </c>
      <c r="D36">
        <f t="shared" si="1"/>
        <v>17.824509150762239</v>
      </c>
      <c r="E36" t="s">
        <v>29</v>
      </c>
      <c r="F36">
        <f t="shared" si="3"/>
        <v>116279.46146468945</v>
      </c>
      <c r="G36">
        <f t="shared" si="4"/>
        <v>18.466124229942249</v>
      </c>
      <c r="H36" t="s">
        <v>29</v>
      </c>
      <c r="I36">
        <f t="shared" si="5"/>
        <v>142743.13427513649</v>
      </c>
      <c r="J36">
        <f t="shared" si="6"/>
        <v>19.437428423761851</v>
      </c>
      <c r="K36" t="s">
        <v>30</v>
      </c>
      <c r="L36">
        <f t="shared" si="7"/>
        <v>12922.279123123497</v>
      </c>
      <c r="M36">
        <f t="shared" si="8"/>
        <v>10.661904284712181</v>
      </c>
      <c r="N36" t="s">
        <v>29</v>
      </c>
      <c r="O36">
        <f t="shared" si="9"/>
        <v>872715.80863640818</v>
      </c>
      <c r="P36">
        <f t="shared" si="10"/>
        <v>30.564564403662239</v>
      </c>
      <c r="Q36" s="1" t="s">
        <v>30</v>
      </c>
      <c r="R36">
        <f t="shared" si="11"/>
        <v>5710.0169669590532</v>
      </c>
      <c r="S36">
        <f t="shared" si="12"/>
        <v>8.6927932344650092</v>
      </c>
      <c r="T36" t="s">
        <v>29</v>
      </c>
      <c r="U36">
        <f t="shared" si="13"/>
        <v>30765.517360926893</v>
      </c>
      <c r="V36">
        <f t="shared" si="14"/>
        <v>13.24390496416363</v>
      </c>
      <c r="W36" t="s">
        <v>29</v>
      </c>
      <c r="X36">
        <f t="shared" si="15"/>
        <v>140414.32955695773</v>
      </c>
      <c r="Y36">
        <f t="shared" si="16"/>
        <v>19.357660003089375</v>
      </c>
      <c r="Z36" s="1" t="s">
        <v>30</v>
      </c>
      <c r="AA36">
        <f t="shared" si="17"/>
        <v>35232.671760027748</v>
      </c>
      <c r="AB36">
        <f t="shared" si="18"/>
        <v>13.700499287659799</v>
      </c>
      <c r="AE36" s="2"/>
      <c r="AF36" s="2" t="s">
        <v>5</v>
      </c>
      <c r="AG36" s="2" t="s">
        <v>6</v>
      </c>
      <c r="AH36" s="2" t="s">
        <v>7</v>
      </c>
      <c r="AI36" s="2" t="s">
        <v>8</v>
      </c>
      <c r="AJ36" s="2" t="s">
        <v>9</v>
      </c>
      <c r="AK36" s="2" t="s">
        <v>1</v>
      </c>
      <c r="AL36" s="2" t="s">
        <v>2</v>
      </c>
      <c r="AM36" s="2" t="s">
        <v>3</v>
      </c>
      <c r="AN36" s="2" t="s">
        <v>4</v>
      </c>
    </row>
    <row r="37" spans="1:40" x14ac:dyDescent="0.2">
      <c r="A37">
        <v>10</v>
      </c>
      <c r="B37" t="s">
        <v>29</v>
      </c>
      <c r="C37">
        <f t="shared" si="2"/>
        <v>109037.13417308067</v>
      </c>
      <c r="D37">
        <f t="shared" si="1"/>
        <v>18.171618356078028</v>
      </c>
      <c r="E37" t="s">
        <v>29</v>
      </c>
      <c r="F37">
        <f t="shared" si="3"/>
        <v>221722.16311394089</v>
      </c>
      <c r="G37">
        <f t="shared" si="4"/>
        <v>21.699627399887365</v>
      </c>
      <c r="H37" t="s">
        <v>29</v>
      </c>
      <c r="I37">
        <f t="shared" si="5"/>
        <v>195607.07062508579</v>
      </c>
      <c r="J37">
        <f t="shared" si="6"/>
        <v>21.030332410488786</v>
      </c>
      <c r="K37" t="s">
        <v>29</v>
      </c>
      <c r="L37">
        <f t="shared" si="7"/>
        <v>78895.831602411956</v>
      </c>
      <c r="M37">
        <f t="shared" si="8"/>
        <v>16.759594806007968</v>
      </c>
      <c r="N37" t="s">
        <v>29</v>
      </c>
      <c r="O37">
        <f t="shared" si="9"/>
        <v>1041481.5713417835</v>
      </c>
      <c r="P37">
        <f t="shared" si="10"/>
        <v>31.945735933159877</v>
      </c>
      <c r="Q37" s="1" t="s">
        <v>30</v>
      </c>
      <c r="R37">
        <f t="shared" si="11"/>
        <v>5710.0169669590532</v>
      </c>
      <c r="S37">
        <f t="shared" si="12"/>
        <v>8.6927932344650092</v>
      </c>
      <c r="T37" t="s">
        <v>29</v>
      </c>
      <c r="U37">
        <f t="shared" si="13"/>
        <v>44506.696372156592</v>
      </c>
      <c r="V37">
        <f t="shared" si="14"/>
        <v>14.524672196797887</v>
      </c>
      <c r="W37" t="s">
        <v>29</v>
      </c>
      <c r="X37">
        <f t="shared" si="15"/>
        <v>261707.05275934923</v>
      </c>
      <c r="Y37">
        <f t="shared" si="16"/>
        <v>22.617982132612084</v>
      </c>
      <c r="Z37" s="1" t="s">
        <v>30</v>
      </c>
      <c r="AA37">
        <f t="shared" si="17"/>
        <v>56808.763888659232</v>
      </c>
      <c r="AB37">
        <f t="shared" si="18"/>
        <v>15.438454951097489</v>
      </c>
      <c r="AE37" s="3" t="s">
        <v>30</v>
      </c>
      <c r="AF37" s="3">
        <f>AVERAGE(D28:D32)</f>
        <v>7.7524298779614584</v>
      </c>
      <c r="AG37" s="3">
        <f>AVERAGE(G28:G34)</f>
        <v>5.8009807043559665</v>
      </c>
      <c r="AH37" s="3">
        <f>AVERAGE(J28:J34)</f>
        <v>7.980873647234568</v>
      </c>
      <c r="AI37" s="3">
        <f>AVERAGE(M28:M36)</f>
        <v>5.5031809537905412</v>
      </c>
      <c r="AJ37" s="3">
        <f>AVERAGE(P28:P32)</f>
        <v>10.372411883510074</v>
      </c>
      <c r="AK37" s="3">
        <f>AVERAGE(S28:S37)</f>
        <v>5.1673648495927873</v>
      </c>
      <c r="AL37" s="3">
        <f>AVERAGE(V28:V35)</f>
        <v>6.6614764847593912</v>
      </c>
      <c r="AM37" s="3">
        <f>AVERAGE(Y28:Y35)</f>
        <v>6.5244870764129317</v>
      </c>
      <c r="AN37" s="3">
        <f>AVERAGE(AB28:AB38)</f>
        <v>10.047335370338631</v>
      </c>
    </row>
    <row r="38" spans="1:40" x14ac:dyDescent="0.2">
      <c r="A38">
        <v>11</v>
      </c>
      <c r="B38" t="s">
        <v>29</v>
      </c>
      <c r="C38">
        <f t="shared" si="2"/>
        <v>135442.32238678876</v>
      </c>
      <c r="D38">
        <f t="shared" si="1"/>
        <v>19.183974919324939</v>
      </c>
      <c r="E38" t="s">
        <v>29</v>
      </c>
      <c r="F38">
        <f t="shared" si="3"/>
        <v>391061.07153767411</v>
      </c>
      <c r="G38">
        <f t="shared" si="4"/>
        <v>25.006974225670564</v>
      </c>
      <c r="H38" t="s">
        <v>29</v>
      </c>
      <c r="I38">
        <f t="shared" si="5"/>
        <v>244736.97350238159</v>
      </c>
      <c r="J38">
        <f t="shared" si="6"/>
        <v>22.242054280009121</v>
      </c>
      <c r="K38" t="s">
        <v>29</v>
      </c>
      <c r="L38">
        <f t="shared" si="7"/>
        <v>137001.71591547655</v>
      </c>
      <c r="M38">
        <f t="shared" si="8"/>
        <v>19.23895601163019</v>
      </c>
      <c r="N38" t="s">
        <v>29</v>
      </c>
      <c r="O38">
        <f t="shared" si="9"/>
        <v>1020287.5281325825</v>
      </c>
      <c r="P38">
        <f t="shared" si="10"/>
        <v>31.781957640193006</v>
      </c>
      <c r="Q38" t="s">
        <v>29</v>
      </c>
      <c r="R38">
        <f t="shared" si="11"/>
        <v>50447.647751970479</v>
      </c>
      <c r="S38">
        <f t="shared" si="12"/>
        <v>14.986845502476262</v>
      </c>
      <c r="T38" t="s">
        <v>29</v>
      </c>
      <c r="U38">
        <f t="shared" si="13"/>
        <v>45059.643538222568</v>
      </c>
      <c r="V38">
        <f t="shared" si="14"/>
        <v>14.569576828878354</v>
      </c>
      <c r="W38" t="s">
        <v>29</v>
      </c>
      <c r="X38">
        <f t="shared" si="15"/>
        <v>334558.30428750766</v>
      </c>
      <c r="Y38">
        <f t="shared" si="16"/>
        <v>24.050159091018163</v>
      </c>
      <c r="Z38" s="1" t="s">
        <v>30</v>
      </c>
      <c r="AA38">
        <f t="shared" si="17"/>
        <v>79557.483897269718</v>
      </c>
      <c r="AB38">
        <f t="shared" si="18"/>
        <v>16.794623019411539</v>
      </c>
      <c r="AE38" s="3" t="s">
        <v>32</v>
      </c>
      <c r="AF38" s="3">
        <f>AVERAGE(D33:D52)</f>
        <v>19.626365556081584</v>
      </c>
      <c r="AG38" s="3">
        <f>AVERAGE(G35:G52)</f>
        <v>25.724713854875482</v>
      </c>
      <c r="AH38" s="3">
        <f>AVERAGE(J33:J52)</f>
        <v>23.642427308656362</v>
      </c>
      <c r="AI38" s="3">
        <f>AVERAGE(M37:M52)</f>
        <v>20.270993016970831</v>
      </c>
      <c r="AJ38" s="3">
        <f>AVERAGE(P33:P52)</f>
        <v>32.656104301075956</v>
      </c>
      <c r="AK38" s="3">
        <f>AVERAGE(S38:S52)</f>
        <v>21.62741804774809</v>
      </c>
      <c r="AL38" s="3">
        <f>AVERAGE(V36:V52)</f>
        <v>16.226158808144717</v>
      </c>
      <c r="AM38" s="3">
        <f>AVERAGE(Y36:Y52)</f>
        <v>27.336195380059902</v>
      </c>
      <c r="AN38" s="3">
        <f>AVERAGE(AB39:AB52)</f>
        <v>30.504303675341166</v>
      </c>
    </row>
    <row r="39" spans="1:40" x14ac:dyDescent="0.2">
      <c r="A39">
        <v>12</v>
      </c>
      <c r="B39" t="s">
        <v>29</v>
      </c>
      <c r="C39">
        <f t="shared" si="2"/>
        <v>140102.65370631861</v>
      </c>
      <c r="D39">
        <f t="shared" si="1"/>
        <v>19.346909063876186</v>
      </c>
      <c r="E39" t="s">
        <v>29</v>
      </c>
      <c r="F39">
        <f t="shared" si="3"/>
        <v>388081.17907452513</v>
      </c>
      <c r="G39">
        <f t="shared" si="4"/>
        <v>24.959199090972376</v>
      </c>
      <c r="H39" t="s">
        <v>29</v>
      </c>
      <c r="I39">
        <f t="shared" si="5"/>
        <v>244845.96903719119</v>
      </c>
      <c r="J39">
        <f t="shared" si="6"/>
        <v>22.244530284956546</v>
      </c>
      <c r="K39" t="s">
        <v>29</v>
      </c>
      <c r="L39">
        <f t="shared" si="7"/>
        <v>137001.71591547655</v>
      </c>
      <c r="M39">
        <f t="shared" si="8"/>
        <v>19.23895601163019</v>
      </c>
      <c r="N39" t="s">
        <v>29</v>
      </c>
      <c r="O39">
        <f t="shared" si="9"/>
        <v>1082599.5565774606</v>
      </c>
      <c r="P39">
        <f t="shared" si="10"/>
        <v>32.256479117723188</v>
      </c>
      <c r="Q39" t="s">
        <v>29</v>
      </c>
      <c r="R39">
        <f t="shared" si="11"/>
        <v>159469.17624075926</v>
      </c>
      <c r="S39">
        <f t="shared" si="12"/>
        <v>19.983391079758164</v>
      </c>
      <c r="T39" t="s">
        <v>29</v>
      </c>
      <c r="U39">
        <f t="shared" si="13"/>
        <v>56736.5403042463</v>
      </c>
      <c r="V39">
        <f t="shared" si="14"/>
        <v>15.433545706185891</v>
      </c>
      <c r="W39" t="s">
        <v>29</v>
      </c>
      <c r="X39">
        <f t="shared" si="15"/>
        <v>400537.86469006189</v>
      </c>
      <c r="Y39">
        <f t="shared" si="16"/>
        <v>25.157118447052731</v>
      </c>
      <c r="Z39" t="s">
        <v>29</v>
      </c>
      <c r="AA39">
        <f t="shared" si="17"/>
        <v>437962.23655149434</v>
      </c>
      <c r="AB39">
        <f t="shared" si="18"/>
        <v>25.725224071142179</v>
      </c>
    </row>
    <row r="40" spans="1:40" x14ac:dyDescent="0.2">
      <c r="A40">
        <v>13</v>
      </c>
      <c r="B40" t="s">
        <v>29</v>
      </c>
      <c r="C40">
        <f t="shared" si="2"/>
        <v>132564.31300403833</v>
      </c>
      <c r="D40">
        <f t="shared" si="1"/>
        <v>19.081242738667143</v>
      </c>
      <c r="E40" t="s">
        <v>29</v>
      </c>
      <c r="F40">
        <f t="shared" si="3"/>
        <v>423457.19221932261</v>
      </c>
      <c r="G40">
        <f t="shared" si="4"/>
        <v>25.509525380688252</v>
      </c>
      <c r="H40" t="s">
        <v>29</v>
      </c>
      <c r="I40">
        <f t="shared" si="5"/>
        <v>300213.46149150084</v>
      </c>
      <c r="J40">
        <f t="shared" si="6"/>
        <v>23.407635199748338</v>
      </c>
      <c r="K40" t="s">
        <v>29</v>
      </c>
      <c r="L40">
        <f t="shared" si="7"/>
        <v>152328.22916774391</v>
      </c>
      <c r="M40">
        <f t="shared" si="8"/>
        <v>19.755821719577895</v>
      </c>
      <c r="N40" t="s">
        <v>29</v>
      </c>
      <c r="O40">
        <f t="shared" si="9"/>
        <v>1241064.8983928084</v>
      </c>
      <c r="P40">
        <f t="shared" si="10"/>
        <v>33.377101783190952</v>
      </c>
      <c r="Q40" t="s">
        <v>29</v>
      </c>
      <c r="R40">
        <f t="shared" si="11"/>
        <v>159469.17624075926</v>
      </c>
      <c r="S40">
        <f t="shared" si="12"/>
        <v>19.983391079758164</v>
      </c>
      <c r="T40" t="s">
        <v>29</v>
      </c>
      <c r="U40">
        <f t="shared" si="13"/>
        <v>60839.097508828374</v>
      </c>
      <c r="V40">
        <f t="shared" si="14"/>
        <v>15.705280260012385</v>
      </c>
      <c r="W40" t="s">
        <v>29</v>
      </c>
      <c r="X40">
        <f t="shared" si="15"/>
        <v>456608.00413871353</v>
      </c>
      <c r="Y40">
        <f t="shared" si="16"/>
        <v>25.994764066886937</v>
      </c>
      <c r="Z40" t="s">
        <v>29</v>
      </c>
      <c r="AA40">
        <f t="shared" si="17"/>
        <v>595166.12707231101</v>
      </c>
      <c r="AB40">
        <f t="shared" si="18"/>
        <v>27.775350721430762</v>
      </c>
      <c r="AE40" t="s">
        <v>85</v>
      </c>
    </row>
    <row r="41" spans="1:40" x14ac:dyDescent="0.2">
      <c r="A41">
        <v>14</v>
      </c>
      <c r="B41" t="s">
        <v>29</v>
      </c>
      <c r="C41">
        <f t="shared" si="2"/>
        <v>171320.66052122583</v>
      </c>
      <c r="D41">
        <f t="shared" si="1"/>
        <v>20.344753630609333</v>
      </c>
      <c r="E41" t="s">
        <v>29</v>
      </c>
      <c r="F41">
        <f t="shared" si="3"/>
        <v>382003.11805666581</v>
      </c>
      <c r="G41">
        <f t="shared" si="4"/>
        <v>24.860893146827138</v>
      </c>
      <c r="H41" t="s">
        <v>29</v>
      </c>
      <c r="I41">
        <f t="shared" si="5"/>
        <v>358055.05403337791</v>
      </c>
      <c r="J41">
        <f t="shared" si="6"/>
        <v>24.461745984944958</v>
      </c>
      <c r="K41" t="s">
        <v>29</v>
      </c>
      <c r="L41">
        <f t="shared" si="7"/>
        <v>168202.75586597947</v>
      </c>
      <c r="M41">
        <f t="shared" si="8"/>
        <v>20.251550382314058</v>
      </c>
      <c r="N41" t="s">
        <v>29</v>
      </c>
      <c r="O41">
        <f t="shared" si="9"/>
        <v>1344659.3514510435</v>
      </c>
      <c r="P41">
        <f t="shared" si="10"/>
        <v>34.052818931127412</v>
      </c>
      <c r="Q41" t="s">
        <v>29</v>
      </c>
      <c r="R41">
        <f t="shared" si="11"/>
        <v>159469.17624075926</v>
      </c>
      <c r="S41">
        <f t="shared" si="12"/>
        <v>19.983391079758164</v>
      </c>
      <c r="T41" t="s">
        <v>29</v>
      </c>
      <c r="U41">
        <f t="shared" si="13"/>
        <v>72670.184169226632</v>
      </c>
      <c r="V41">
        <f t="shared" si="14"/>
        <v>16.41871125230168</v>
      </c>
      <c r="W41" t="s">
        <v>29</v>
      </c>
      <c r="X41">
        <f t="shared" si="15"/>
        <v>544784.56780503213</v>
      </c>
      <c r="Y41">
        <f t="shared" si="16"/>
        <v>27.167908080972836</v>
      </c>
      <c r="Z41" t="s">
        <v>29</v>
      </c>
      <c r="AA41">
        <f t="shared" si="17"/>
        <v>789631.20728335378</v>
      </c>
      <c r="AB41">
        <f t="shared" si="18"/>
        <v>29.809595022441904</v>
      </c>
      <c r="AF41" t="s">
        <v>5</v>
      </c>
      <c r="AG41" t="s">
        <v>6</v>
      </c>
      <c r="AH41" t="s">
        <v>7</v>
      </c>
      <c r="AI41" t="s">
        <v>8</v>
      </c>
      <c r="AJ41" t="s">
        <v>9</v>
      </c>
      <c r="AK41" t="s">
        <v>1</v>
      </c>
      <c r="AL41" t="s">
        <v>2</v>
      </c>
      <c r="AM41" t="s">
        <v>3</v>
      </c>
      <c r="AN41" t="s">
        <v>4</v>
      </c>
    </row>
    <row r="42" spans="1:40" x14ac:dyDescent="0.2">
      <c r="A42">
        <v>15</v>
      </c>
      <c r="B42" t="s">
        <v>29</v>
      </c>
      <c r="C42">
        <f t="shared" si="2"/>
        <v>209003.57754425719</v>
      </c>
      <c r="D42">
        <f t="shared" si="1"/>
        <v>21.381512826686009</v>
      </c>
      <c r="E42" t="s">
        <v>29</v>
      </c>
      <c r="F42">
        <f t="shared" si="3"/>
        <v>425900.1807584234</v>
      </c>
      <c r="G42">
        <f t="shared" si="4"/>
        <v>25.546238127152872</v>
      </c>
      <c r="H42" t="s">
        <v>29</v>
      </c>
      <c r="I42">
        <f t="shared" si="5"/>
        <v>421453.89131323737</v>
      </c>
      <c r="J42">
        <f t="shared" si="6"/>
        <v>25.479301448126876</v>
      </c>
      <c r="K42" t="s">
        <v>29</v>
      </c>
      <c r="L42">
        <f t="shared" si="7"/>
        <v>168202.75586597947</v>
      </c>
      <c r="M42">
        <f t="shared" si="8"/>
        <v>20.251550382314058</v>
      </c>
      <c r="N42" t="s">
        <v>29</v>
      </c>
      <c r="O42">
        <f t="shared" si="9"/>
        <v>1159196.464838682</v>
      </c>
      <c r="P42">
        <f t="shared" si="10"/>
        <v>32.812495561457673</v>
      </c>
      <c r="Q42" t="s">
        <v>29</v>
      </c>
      <c r="R42">
        <f t="shared" si="11"/>
        <v>206640.92787428049</v>
      </c>
      <c r="S42">
        <f t="shared" si="12"/>
        <v>21.320828942312914</v>
      </c>
      <c r="T42" t="s">
        <v>29</v>
      </c>
      <c r="U42">
        <f t="shared" si="13"/>
        <v>78501.042878540611</v>
      </c>
      <c r="V42">
        <f t="shared" si="14"/>
        <v>16.73858941526494</v>
      </c>
      <c r="W42" t="s">
        <v>29</v>
      </c>
      <c r="X42">
        <f t="shared" si="15"/>
        <v>569796.8394125551</v>
      </c>
      <c r="Y42">
        <f t="shared" si="16"/>
        <v>27.474513374220781</v>
      </c>
      <c r="Z42" t="s">
        <v>29</v>
      </c>
      <c r="AA42">
        <f t="shared" si="17"/>
        <v>755520.98906421592</v>
      </c>
      <c r="AB42">
        <f t="shared" si="18"/>
        <v>29.482318492046183</v>
      </c>
      <c r="AE42" t="s">
        <v>30</v>
      </c>
      <c r="AF42">
        <f>(AF37*0.000001)/2</f>
        <v>3.8762149389807287E-6</v>
      </c>
      <c r="AG42">
        <f t="shared" ref="AG42:AN43" si="19">(AG37*0.000001)/2</f>
        <v>2.900490352177983E-6</v>
      </c>
      <c r="AH42">
        <f t="shared" si="19"/>
        <v>3.9904368236172839E-6</v>
      </c>
      <c r="AI42">
        <f t="shared" si="19"/>
        <v>2.7515904768952704E-6</v>
      </c>
      <c r="AJ42">
        <f t="shared" si="19"/>
        <v>5.1862059417550365E-6</v>
      </c>
      <c r="AK42">
        <f t="shared" si="19"/>
        <v>2.5836824247963936E-6</v>
      </c>
      <c r="AL42">
        <f t="shared" si="19"/>
        <v>3.3307382423796954E-6</v>
      </c>
      <c r="AM42">
        <f t="shared" si="19"/>
        <v>3.2622435382064656E-6</v>
      </c>
      <c r="AN42">
        <f t="shared" si="19"/>
        <v>5.0236676851693154E-6</v>
      </c>
    </row>
    <row r="43" spans="1:40" x14ac:dyDescent="0.2">
      <c r="A43">
        <v>16</v>
      </c>
      <c r="B43" t="s">
        <v>29</v>
      </c>
      <c r="C43">
        <f t="shared" si="2"/>
        <v>227346.11346421414</v>
      </c>
      <c r="D43">
        <f t="shared" si="1"/>
        <v>21.835939560676792</v>
      </c>
      <c r="E43" t="s">
        <v>29</v>
      </c>
      <c r="F43">
        <f t="shared" si="3"/>
        <v>462555.50991917547</v>
      </c>
      <c r="G43">
        <f t="shared" si="4"/>
        <v>26.079001819788363</v>
      </c>
      <c r="H43" t="s">
        <v>29</v>
      </c>
      <c r="I43">
        <f t="shared" si="5"/>
        <v>414779.77013691311</v>
      </c>
      <c r="J43">
        <f t="shared" si="6"/>
        <v>25.37782461380371</v>
      </c>
      <c r="K43" t="s">
        <v>29</v>
      </c>
      <c r="L43">
        <f t="shared" si="7"/>
        <v>177742.94530460821</v>
      </c>
      <c r="M43">
        <f t="shared" si="8"/>
        <v>20.532796037080981</v>
      </c>
      <c r="N43" t="s">
        <v>29</v>
      </c>
      <c r="O43">
        <f t="shared" si="9"/>
        <v>1576619.762914601</v>
      </c>
      <c r="P43">
        <f t="shared" si="10"/>
        <v>35.434943247603435</v>
      </c>
      <c r="Q43" t="s">
        <v>29</v>
      </c>
      <c r="R43">
        <f t="shared" si="11"/>
        <v>226712.9558263458</v>
      </c>
      <c r="S43">
        <f t="shared" si="12"/>
        <v>21.820720414990067</v>
      </c>
      <c r="T43" t="s">
        <v>29</v>
      </c>
      <c r="U43">
        <f t="shared" si="13"/>
        <v>82136.943351446927</v>
      </c>
      <c r="V43">
        <f t="shared" si="14"/>
        <v>16.929129776220773</v>
      </c>
      <c r="W43" t="s">
        <v>29</v>
      </c>
      <c r="X43">
        <f t="shared" si="15"/>
        <v>663982.42263722408</v>
      </c>
      <c r="Y43">
        <f t="shared" si="16"/>
        <v>28.545598013391047</v>
      </c>
      <c r="Z43" t="s">
        <v>29</v>
      </c>
      <c r="AA43">
        <f t="shared" si="17"/>
        <v>851382.23581601109</v>
      </c>
      <c r="AB43">
        <f t="shared" si="18"/>
        <v>30.376039304791473</v>
      </c>
      <c r="AE43" t="s">
        <v>29</v>
      </c>
      <c r="AF43">
        <f>(AF38*0.000001)/2</f>
        <v>9.8131827780407909E-6</v>
      </c>
      <c r="AG43">
        <f t="shared" si="19"/>
        <v>1.286235692743774E-5</v>
      </c>
      <c r="AH43">
        <f t="shared" si="19"/>
        <v>1.1821213654328181E-5</v>
      </c>
      <c r="AI43">
        <f t="shared" si="19"/>
        <v>1.0135496508485415E-5</v>
      </c>
      <c r="AJ43">
        <f t="shared" si="19"/>
        <v>1.6328052150537978E-5</v>
      </c>
      <c r="AK43">
        <f t="shared" si="19"/>
        <v>1.0813709023874045E-5</v>
      </c>
      <c r="AL43">
        <f t="shared" si="19"/>
        <v>8.1130794040723575E-6</v>
      </c>
      <c r="AM43">
        <f t="shared" si="19"/>
        <v>1.366809769002995E-5</v>
      </c>
      <c r="AN43">
        <f t="shared" si="19"/>
        <v>1.5252151837670582E-5</v>
      </c>
    </row>
    <row r="44" spans="1:40" x14ac:dyDescent="0.2">
      <c r="A44">
        <v>17</v>
      </c>
      <c r="B44" t="s">
        <v>29</v>
      </c>
      <c r="C44">
        <f t="shared" si="2"/>
        <v>232183.03242134806</v>
      </c>
      <c r="D44">
        <f t="shared" si="1"/>
        <v>21.951167301145158</v>
      </c>
      <c r="E44" t="s">
        <v>29</v>
      </c>
      <c r="F44">
        <f t="shared" si="3"/>
        <v>536922.42193288403</v>
      </c>
      <c r="G44">
        <f t="shared" si="4"/>
        <v>27.0693535955789</v>
      </c>
      <c r="H44" t="s">
        <v>29</v>
      </c>
      <c r="I44">
        <f t="shared" si="5"/>
        <v>452978.49540701008</v>
      </c>
      <c r="J44">
        <f t="shared" si="6"/>
        <v>25.942952245544973</v>
      </c>
      <c r="K44" t="s">
        <v>29</v>
      </c>
      <c r="L44">
        <f t="shared" si="7"/>
        <v>190084.60470745957</v>
      </c>
      <c r="M44">
        <f t="shared" si="8"/>
        <v>20.880300089034197</v>
      </c>
      <c r="N44" t="s">
        <v>29</v>
      </c>
      <c r="O44">
        <f t="shared" si="9"/>
        <v>1344499.1487511764</v>
      </c>
      <c r="P44">
        <f t="shared" si="10"/>
        <v>34.051804622694306</v>
      </c>
      <c r="Q44" t="s">
        <v>29</v>
      </c>
      <c r="R44">
        <f t="shared" si="11"/>
        <v>226712.9558263458</v>
      </c>
      <c r="S44">
        <f t="shared" si="12"/>
        <v>21.820720414990067</v>
      </c>
      <c r="T44" t="s">
        <v>29</v>
      </c>
      <c r="U44">
        <f t="shared" si="13"/>
        <v>78571.391647328448</v>
      </c>
      <c r="V44">
        <f t="shared" si="14"/>
        <v>16.742338230568709</v>
      </c>
      <c r="W44" t="s">
        <v>29</v>
      </c>
      <c r="X44">
        <f t="shared" si="15"/>
        <v>705867.99908394821</v>
      </c>
      <c r="Y44">
        <f t="shared" si="16"/>
        <v>28.985505138253277</v>
      </c>
      <c r="Z44" t="s">
        <v>29</v>
      </c>
      <c r="AA44">
        <f t="shared" si="17"/>
        <v>1028813.7013812363</v>
      </c>
      <c r="AB44">
        <f t="shared" si="18"/>
        <v>31.848148152563251</v>
      </c>
    </row>
    <row r="45" spans="1:40" x14ac:dyDescent="0.2">
      <c r="A45">
        <v>18</v>
      </c>
      <c r="B45" t="s">
        <v>29</v>
      </c>
      <c r="C45">
        <f t="shared" si="2"/>
        <v>219556.13361174407</v>
      </c>
      <c r="D45">
        <f t="shared" si="1"/>
        <v>21.646435593905274</v>
      </c>
      <c r="E45" t="s">
        <v>29</v>
      </c>
      <c r="F45">
        <f t="shared" si="3"/>
        <v>617914.29281406058</v>
      </c>
      <c r="G45">
        <f t="shared" si="4"/>
        <v>28.037033478596395</v>
      </c>
      <c r="H45" t="s">
        <v>29</v>
      </c>
      <c r="I45">
        <f t="shared" si="5"/>
        <v>515837.8396378443</v>
      </c>
      <c r="J45">
        <f t="shared" si="6"/>
        <v>26.799599213937086</v>
      </c>
      <c r="K45" t="s">
        <v>29</v>
      </c>
      <c r="L45">
        <f t="shared" si="7"/>
        <v>195354.07396858031</v>
      </c>
      <c r="M45">
        <f t="shared" si="8"/>
        <v>21.023528992893695</v>
      </c>
      <c r="N45" t="s">
        <v>29</v>
      </c>
      <c r="O45">
        <f t="shared" si="9"/>
        <v>1422417.7456726325</v>
      </c>
      <c r="P45">
        <f t="shared" si="10"/>
        <v>34.534787691273173</v>
      </c>
      <c r="Q45" t="s">
        <v>29</v>
      </c>
      <c r="R45">
        <f t="shared" si="11"/>
        <v>238263.21581423644</v>
      </c>
      <c r="S45">
        <f t="shared" si="12"/>
        <v>22.093486190902905</v>
      </c>
      <c r="T45" t="s">
        <v>29</v>
      </c>
      <c r="U45">
        <f t="shared" si="13"/>
        <v>65083.75689835591</v>
      </c>
      <c r="V45">
        <f t="shared" si="14"/>
        <v>15.972325553606311</v>
      </c>
      <c r="W45" t="s">
        <v>29</v>
      </c>
      <c r="X45">
        <f t="shared" si="15"/>
        <v>730606.4140807807</v>
      </c>
      <c r="Y45">
        <f t="shared" si="16"/>
        <v>29.236196364461396</v>
      </c>
      <c r="Z45" t="s">
        <v>29</v>
      </c>
      <c r="AA45">
        <f t="shared" si="17"/>
        <v>865629.66358790954</v>
      </c>
      <c r="AB45">
        <f t="shared" si="18"/>
        <v>30.502331214977016</v>
      </c>
      <c r="AF45" t="s">
        <v>86</v>
      </c>
    </row>
    <row r="46" spans="1:40" x14ac:dyDescent="0.2">
      <c r="A46">
        <v>19</v>
      </c>
      <c r="B46" t="s">
        <v>29</v>
      </c>
      <c r="C46">
        <f t="shared" si="2"/>
        <v>216791.59806848905</v>
      </c>
      <c r="D46">
        <f t="shared" si="1"/>
        <v>21.577971328162164</v>
      </c>
      <c r="E46" t="s">
        <v>29</v>
      </c>
      <c r="F46">
        <f t="shared" si="3"/>
        <v>609092.68646265275</v>
      </c>
      <c r="G46">
        <f t="shared" si="4"/>
        <v>27.936426104093258</v>
      </c>
      <c r="H46" t="s">
        <v>29</v>
      </c>
      <c r="I46">
        <f t="shared" si="5"/>
        <v>604539.36068700452</v>
      </c>
      <c r="J46">
        <f t="shared" si="6"/>
        <v>27.884068798415012</v>
      </c>
      <c r="K46" t="s">
        <v>29</v>
      </c>
      <c r="L46">
        <f t="shared" si="7"/>
        <v>201541.45746148369</v>
      </c>
      <c r="M46">
        <f t="shared" si="8"/>
        <v>21.188055346852284</v>
      </c>
      <c r="N46" t="s">
        <v>29</v>
      </c>
      <c r="O46">
        <f t="shared" si="9"/>
        <v>1553636.4024990788</v>
      </c>
      <c r="P46">
        <f t="shared" si="10"/>
        <v>35.305091964650863</v>
      </c>
      <c r="Q46" t="s">
        <v>29</v>
      </c>
      <c r="R46">
        <f t="shared" si="11"/>
        <v>311138.22873326158</v>
      </c>
      <c r="S46">
        <f t="shared" si="12"/>
        <v>23.617740351510907</v>
      </c>
      <c r="T46" t="s">
        <v>29</v>
      </c>
      <c r="U46">
        <f t="shared" si="13"/>
        <v>63885.682720485129</v>
      </c>
      <c r="V46">
        <f t="shared" si="14"/>
        <v>15.898307220192583</v>
      </c>
      <c r="W46" t="s">
        <v>29</v>
      </c>
      <c r="X46">
        <f t="shared" si="15"/>
        <v>704957.5336727089</v>
      </c>
      <c r="Y46">
        <f t="shared" si="16"/>
        <v>28.976153859278998</v>
      </c>
      <c r="Z46" t="s">
        <v>29</v>
      </c>
      <c r="AA46">
        <f t="shared" si="17"/>
        <v>1050742.8668106648</v>
      </c>
      <c r="AB46">
        <f t="shared" si="18"/>
        <v>32.016519086132895</v>
      </c>
      <c r="AE46" t="s">
        <v>35</v>
      </c>
      <c r="AF46">
        <f>AF42</f>
        <v>3.8762149389807287E-6</v>
      </c>
      <c r="AI46">
        <v>3.9447078898953992E-6</v>
      </c>
    </row>
    <row r="47" spans="1:40" x14ac:dyDescent="0.2">
      <c r="A47">
        <v>20</v>
      </c>
      <c r="B47" t="s">
        <v>29</v>
      </c>
      <c r="C47">
        <f t="shared" si="2"/>
        <v>186965.68584921802</v>
      </c>
      <c r="D47">
        <f t="shared" si="1"/>
        <v>20.794116689202312</v>
      </c>
      <c r="E47" t="s">
        <v>29</v>
      </c>
      <c r="F47">
        <f t="shared" si="3"/>
        <v>610282.59208873264</v>
      </c>
      <c r="G47">
        <f t="shared" si="4"/>
        <v>27.950060065941202</v>
      </c>
      <c r="H47" t="s">
        <v>29</v>
      </c>
      <c r="I47">
        <f t="shared" si="5"/>
        <v>654392.76192694367</v>
      </c>
      <c r="J47">
        <f t="shared" si="6"/>
        <v>28.441966579122397</v>
      </c>
      <c r="K47" t="s">
        <v>29</v>
      </c>
      <c r="L47">
        <f t="shared" si="7"/>
        <v>204175.97450252535</v>
      </c>
      <c r="M47">
        <f t="shared" si="8"/>
        <v>21.25696019380662</v>
      </c>
      <c r="N47" t="s">
        <v>29</v>
      </c>
      <c r="O47">
        <f t="shared" si="9"/>
        <v>1459307.6713428961</v>
      </c>
      <c r="P47">
        <f t="shared" si="10"/>
        <v>34.75655442865019</v>
      </c>
      <c r="Q47" t="s">
        <v>29</v>
      </c>
      <c r="R47">
        <f t="shared" si="11"/>
        <v>311138.22873326158</v>
      </c>
      <c r="S47">
        <f t="shared" si="12"/>
        <v>23.617740351510907</v>
      </c>
      <c r="T47" t="s">
        <v>29</v>
      </c>
      <c r="U47">
        <f t="shared" si="13"/>
        <v>87688.782507073367</v>
      </c>
      <c r="V47">
        <f t="shared" si="14"/>
        <v>17.208222392288828</v>
      </c>
      <c r="W47" t="s">
        <v>29</v>
      </c>
      <c r="X47">
        <f t="shared" si="15"/>
        <v>765091.09549175284</v>
      </c>
      <c r="Y47">
        <f t="shared" si="16"/>
        <v>29.575240633054822</v>
      </c>
      <c r="Z47" t="s">
        <v>29</v>
      </c>
      <c r="AA47">
        <f t="shared" si="17"/>
        <v>976755.46608700126</v>
      </c>
      <c r="AB47">
        <f t="shared" si="18"/>
        <v>31.437388535872667</v>
      </c>
      <c r="AE47" t="s">
        <v>34</v>
      </c>
      <c r="AF47">
        <f>AF43</f>
        <v>9.8131827780407909E-6</v>
      </c>
      <c r="AI47">
        <v>9.5150918379784379E-6</v>
      </c>
    </row>
    <row r="48" spans="1:40" x14ac:dyDescent="0.2">
      <c r="A48">
        <v>21</v>
      </c>
      <c r="B48" t="s">
        <v>29</v>
      </c>
      <c r="C48">
        <f t="shared" si="2"/>
        <v>172117.03457129523</v>
      </c>
      <c r="D48">
        <f t="shared" si="1"/>
        <v>20.368355377341977</v>
      </c>
      <c r="E48" t="s">
        <v>29</v>
      </c>
      <c r="F48">
        <f t="shared" si="3"/>
        <v>562115.27738977631</v>
      </c>
      <c r="G48">
        <f t="shared" si="4"/>
        <v>27.381443979264347</v>
      </c>
      <c r="H48" t="s">
        <v>29</v>
      </c>
      <c r="I48">
        <f t="shared" si="5"/>
        <v>572852.88798522262</v>
      </c>
      <c r="J48">
        <f t="shared" si="6"/>
        <v>27.511278715127425</v>
      </c>
      <c r="K48" t="s">
        <v>29</v>
      </c>
      <c r="L48">
        <f t="shared" si="7"/>
        <v>190240.4573021573</v>
      </c>
      <c r="M48">
        <f t="shared" si="8"/>
        <v>20.884578774381204</v>
      </c>
      <c r="N48" t="s">
        <v>29</v>
      </c>
      <c r="O48">
        <f t="shared" si="9"/>
        <v>1572643.6521349729</v>
      </c>
      <c r="P48">
        <f t="shared" si="10"/>
        <v>35.412581054585068</v>
      </c>
      <c r="Q48" t="s">
        <v>29</v>
      </c>
      <c r="R48">
        <f t="shared" si="11"/>
        <v>311138.22873326158</v>
      </c>
      <c r="S48">
        <f t="shared" si="12"/>
        <v>23.617740351510907</v>
      </c>
      <c r="T48" t="s">
        <v>29</v>
      </c>
      <c r="U48">
        <f t="shared" si="13"/>
        <v>79178.74566926081</v>
      </c>
      <c r="V48">
        <f t="shared" si="14"/>
        <v>16.774599281883333</v>
      </c>
      <c r="W48" t="s">
        <v>29</v>
      </c>
      <c r="X48">
        <f t="shared" si="15"/>
        <v>816955.51259838778</v>
      </c>
      <c r="Y48">
        <f t="shared" si="16"/>
        <v>30.064196540518733</v>
      </c>
      <c r="Z48" t="s">
        <v>29</v>
      </c>
      <c r="AA48">
        <f t="shared" si="17"/>
        <v>1010228.690459426</v>
      </c>
      <c r="AB48">
        <f t="shared" si="18"/>
        <v>31.703333159596003</v>
      </c>
      <c r="AE48" t="s">
        <v>36</v>
      </c>
      <c r="AF48">
        <f>AG42</f>
        <v>2.900490352177983E-6</v>
      </c>
      <c r="AI48">
        <v>2.8638652662134877E-6</v>
      </c>
    </row>
    <row r="49" spans="1:35" x14ac:dyDescent="0.2">
      <c r="A49">
        <v>22</v>
      </c>
      <c r="B49" t="s">
        <v>29</v>
      </c>
      <c r="C49">
        <f t="shared" si="2"/>
        <v>203332.70258583096</v>
      </c>
      <c r="D49">
        <f t="shared" si="1"/>
        <v>21.234977652184885</v>
      </c>
      <c r="E49" t="s">
        <v>29</v>
      </c>
      <c r="F49">
        <f t="shared" si="3"/>
        <v>614432.82477154233</v>
      </c>
      <c r="G49">
        <f t="shared" si="4"/>
        <v>27.99745802635152</v>
      </c>
      <c r="H49" t="s">
        <v>29</v>
      </c>
      <c r="I49">
        <f t="shared" si="5"/>
        <v>565426.83613203734</v>
      </c>
      <c r="J49">
        <f t="shared" si="6"/>
        <v>27.421682889392848</v>
      </c>
      <c r="K49" t="s">
        <v>29</v>
      </c>
      <c r="L49">
        <f t="shared" si="7"/>
        <v>187316.67384695652</v>
      </c>
      <c r="M49">
        <f t="shared" si="8"/>
        <v>20.803868950645988</v>
      </c>
      <c r="N49" t="s">
        <v>29</v>
      </c>
      <c r="O49">
        <f t="shared" si="9"/>
        <v>1446515.7583753571</v>
      </c>
      <c r="P49">
        <f t="shared" si="10"/>
        <v>34.68013603110068</v>
      </c>
      <c r="Q49" t="s">
        <v>29</v>
      </c>
      <c r="R49">
        <f t="shared" si="11"/>
        <v>287628.09421754832</v>
      </c>
      <c r="S49">
        <f t="shared" si="12"/>
        <v>23.158361339049758</v>
      </c>
      <c r="T49" t="s">
        <v>29</v>
      </c>
      <c r="U49">
        <f t="shared" si="13"/>
        <v>77302.500563230715</v>
      </c>
      <c r="V49">
        <f t="shared" si="14"/>
        <v>16.674329743746753</v>
      </c>
      <c r="W49" t="s">
        <v>29</v>
      </c>
      <c r="X49">
        <f t="shared" si="15"/>
        <v>825332.00786014285</v>
      </c>
      <c r="Y49">
        <f t="shared" si="16"/>
        <v>30.140966344116954</v>
      </c>
      <c r="Z49" t="s">
        <v>29</v>
      </c>
      <c r="AA49">
        <f t="shared" si="17"/>
        <v>965685.82900753198</v>
      </c>
      <c r="AB49">
        <f t="shared" si="18"/>
        <v>31.347936949542333</v>
      </c>
      <c r="AE49" t="s">
        <v>37</v>
      </c>
      <c r="AF49">
        <f>AG43</f>
        <v>1.286235692743774E-5</v>
      </c>
      <c r="AI49">
        <v>1.1855467471975715E-5</v>
      </c>
    </row>
    <row r="50" spans="1:35" x14ac:dyDescent="0.2">
      <c r="A50">
        <v>23</v>
      </c>
      <c r="B50" t="s">
        <v>29</v>
      </c>
      <c r="C50">
        <f t="shared" si="2"/>
        <v>214285.84427918453</v>
      </c>
      <c r="D50">
        <f t="shared" si="1"/>
        <v>21.515347784668737</v>
      </c>
      <c r="E50" t="s">
        <v>29</v>
      </c>
      <c r="F50">
        <f t="shared" si="3"/>
        <v>730884.97419323737</v>
      </c>
      <c r="G50">
        <f t="shared" si="4"/>
        <v>29.23898270531383</v>
      </c>
      <c r="H50" t="s">
        <v>29</v>
      </c>
      <c r="I50">
        <f t="shared" si="5"/>
        <v>589605.75473548367</v>
      </c>
      <c r="J50">
        <f t="shared" si="6"/>
        <v>27.710249008140728</v>
      </c>
      <c r="K50" t="s">
        <v>29</v>
      </c>
      <c r="L50">
        <f t="shared" si="7"/>
        <v>178215.92572176605</v>
      </c>
      <c r="M50">
        <f t="shared" si="8"/>
        <v>20.546442055955257</v>
      </c>
      <c r="N50" t="s">
        <v>29</v>
      </c>
      <c r="O50">
        <f t="shared" si="9"/>
        <v>1818125.9089819214</v>
      </c>
      <c r="P50">
        <f t="shared" si="10"/>
        <v>36.720280405804665</v>
      </c>
      <c r="Q50" t="s">
        <v>29</v>
      </c>
      <c r="R50">
        <f t="shared" si="11"/>
        <v>270342.89900666865</v>
      </c>
      <c r="S50">
        <f t="shared" si="12"/>
        <v>22.802304539230686</v>
      </c>
      <c r="T50" t="s">
        <v>29</v>
      </c>
      <c r="U50">
        <f t="shared" si="13"/>
        <v>92263.645954606851</v>
      </c>
      <c r="V50">
        <f t="shared" si="14"/>
        <v>17.428405386833216</v>
      </c>
      <c r="W50" t="s">
        <v>29</v>
      </c>
      <c r="X50">
        <f t="shared" si="15"/>
        <v>799760.91421127063</v>
      </c>
      <c r="Y50">
        <f t="shared" si="16"/>
        <v>29.904740894942012</v>
      </c>
      <c r="Z50" t="s">
        <v>29</v>
      </c>
      <c r="AA50">
        <f t="shared" si="17"/>
        <v>1039983.1230012876</v>
      </c>
      <c r="AB50">
        <f t="shared" si="18"/>
        <v>31.934239118156334</v>
      </c>
      <c r="AE50" s="1" t="s">
        <v>40</v>
      </c>
      <c r="AF50">
        <f>AH42</f>
        <v>3.9904368236172839E-6</v>
      </c>
      <c r="AI50">
        <v>3.9737291970577394E-6</v>
      </c>
    </row>
    <row r="51" spans="1:35" x14ac:dyDescent="0.2">
      <c r="A51">
        <v>24</v>
      </c>
      <c r="B51" t="s">
        <v>29</v>
      </c>
      <c r="C51">
        <f t="shared" si="2"/>
        <v>176782.22243908979</v>
      </c>
      <c r="D51">
        <f t="shared" si="1"/>
        <v>20.504994037858463</v>
      </c>
      <c r="E51" t="s">
        <v>29</v>
      </c>
      <c r="F51">
        <f t="shared" si="3"/>
        <v>741600.04175185249</v>
      </c>
      <c r="G51">
        <f t="shared" si="4"/>
        <v>29.345562354571047</v>
      </c>
      <c r="H51" t="s">
        <v>29</v>
      </c>
      <c r="I51">
        <f t="shared" si="5"/>
        <v>679844.24423099367</v>
      </c>
      <c r="J51">
        <f t="shared" si="6"/>
        <v>28.714572587938029</v>
      </c>
      <c r="K51" t="s">
        <v>29</v>
      </c>
      <c r="L51">
        <f t="shared" si="7"/>
        <v>189399.64146184723</v>
      </c>
      <c r="M51">
        <f t="shared" si="8"/>
        <v>20.861464258704341</v>
      </c>
      <c r="N51" t="s">
        <v>29</v>
      </c>
      <c r="O51">
        <f t="shared" si="9"/>
        <v>1587363.3499688155</v>
      </c>
      <c r="P51">
        <f t="shared" si="10"/>
        <v>35.495155835094756</v>
      </c>
      <c r="Q51" t="s">
        <v>29</v>
      </c>
      <c r="R51">
        <f t="shared" si="11"/>
        <v>270342.89900666865</v>
      </c>
      <c r="S51">
        <f t="shared" si="12"/>
        <v>22.802304539230686</v>
      </c>
      <c r="T51" t="s">
        <v>29</v>
      </c>
      <c r="U51">
        <f t="shared" si="13"/>
        <v>98815.355287895421</v>
      </c>
      <c r="V51">
        <f t="shared" si="14"/>
        <v>17.7298927746434</v>
      </c>
      <c r="W51" t="s">
        <v>29</v>
      </c>
      <c r="X51">
        <f t="shared" si="15"/>
        <v>697205.20339596237</v>
      </c>
      <c r="Y51">
        <f t="shared" si="16"/>
        <v>28.896161434729326</v>
      </c>
      <c r="Z51" t="s">
        <v>29</v>
      </c>
      <c r="AA51">
        <f t="shared" si="17"/>
        <v>1093706.5211926112</v>
      </c>
      <c r="AB51">
        <f t="shared" si="18"/>
        <v>32.338896798054414</v>
      </c>
      <c r="AE51" s="1" t="s">
        <v>41</v>
      </c>
      <c r="AF51">
        <f>AH43</f>
        <v>1.1821213654328181E-5</v>
      </c>
      <c r="AI51">
        <v>1.1392050223224078E-5</v>
      </c>
    </row>
    <row r="52" spans="1:35" x14ac:dyDescent="0.2">
      <c r="A52">
        <v>25</v>
      </c>
      <c r="B52" t="s">
        <v>29</v>
      </c>
      <c r="C52">
        <f t="shared" si="2"/>
        <v>167615.2879058953</v>
      </c>
      <c r="D52">
        <f t="shared" si="1"/>
        <v>20.23384444341502</v>
      </c>
      <c r="E52" t="s">
        <v>29</v>
      </c>
      <c r="F52">
        <f t="shared" si="3"/>
        <v>817940.22017921344</v>
      </c>
      <c r="G52">
        <f t="shared" si="4"/>
        <v>30.073251828698087</v>
      </c>
      <c r="H52" t="s">
        <v>29</v>
      </c>
      <c r="I52">
        <f t="shared" si="5"/>
        <v>818162.93505514262</v>
      </c>
      <c r="J52">
        <f t="shared" si="6"/>
        <v>30.075298762141262</v>
      </c>
      <c r="K52" t="s">
        <v>29</v>
      </c>
      <c r="L52">
        <f t="shared" si="7"/>
        <v>189399.64146184723</v>
      </c>
      <c r="M52">
        <f t="shared" si="8"/>
        <v>20.861464258704341</v>
      </c>
      <c r="N52" t="s">
        <v>29</v>
      </c>
      <c r="O52">
        <f t="shared" si="9"/>
        <v>1383461.4822870998</v>
      </c>
      <c r="P52">
        <f t="shared" si="10"/>
        <v>34.295865558771915</v>
      </c>
      <c r="Q52" t="s">
        <v>29</v>
      </c>
      <c r="R52">
        <f t="shared" si="11"/>
        <v>270342.89900666865</v>
      </c>
      <c r="S52">
        <f t="shared" si="12"/>
        <v>22.802304539230686</v>
      </c>
      <c r="T52" t="s">
        <v>29</v>
      </c>
      <c r="U52">
        <f t="shared" si="13"/>
        <v>101585.57640026804</v>
      </c>
      <c r="V52">
        <f t="shared" si="14"/>
        <v>17.852868754871533</v>
      </c>
      <c r="W52" t="s">
        <v>29</v>
      </c>
      <c r="X52">
        <f t="shared" si="15"/>
        <v>666298.37092939322</v>
      </c>
      <c r="Y52">
        <f t="shared" si="16"/>
        <v>28.570457042418884</v>
      </c>
      <c r="Z52" t="s">
        <v>29</v>
      </c>
      <c r="AA52">
        <f t="shared" si="17"/>
        <v>895593.29974395048</v>
      </c>
      <c r="AB52">
        <f t="shared" si="18"/>
        <v>30.762930828028985</v>
      </c>
      <c r="AE52" s="1" t="s">
        <v>38</v>
      </c>
      <c r="AF52">
        <f>AI42</f>
        <v>2.7515904768952704E-6</v>
      </c>
      <c r="AI52">
        <v>3.4085647549750528E-6</v>
      </c>
    </row>
    <row r="53" spans="1:35" x14ac:dyDescent="0.2">
      <c r="AE53" s="1" t="s">
        <v>39</v>
      </c>
      <c r="AF53">
        <f>AI43</f>
        <v>1.0135496508485415E-5</v>
      </c>
      <c r="AI53">
        <v>9.540610062163369E-6</v>
      </c>
    </row>
    <row r="54" spans="1:35" x14ac:dyDescent="0.2">
      <c r="AE54" s="1" t="s">
        <v>42</v>
      </c>
      <c r="AF54">
        <f>AJ42</f>
        <v>5.1862059417550365E-6</v>
      </c>
      <c r="AI54">
        <v>5.5508204613628374E-6</v>
      </c>
    </row>
    <row r="55" spans="1:35" x14ac:dyDescent="0.2">
      <c r="AE55" s="1" t="s">
        <v>43</v>
      </c>
      <c r="AF55">
        <f>AJ43</f>
        <v>1.6328052150537978E-5</v>
      </c>
      <c r="AI55">
        <v>1.5379800820041051E-5</v>
      </c>
    </row>
    <row r="56" spans="1:35" x14ac:dyDescent="0.2">
      <c r="AE56" t="s">
        <v>44</v>
      </c>
      <c r="AF56">
        <f>AK42</f>
        <v>2.5836824247963936E-6</v>
      </c>
      <c r="AI56">
        <v>3.0397148171416321E-6</v>
      </c>
    </row>
    <row r="57" spans="1:35" x14ac:dyDescent="0.2">
      <c r="AE57" t="s">
        <v>45</v>
      </c>
      <c r="AF57">
        <f>AK43</f>
        <v>1.0813709023874045E-5</v>
      </c>
      <c r="AI57">
        <v>1.0296078113928704E-5</v>
      </c>
    </row>
    <row r="58" spans="1:35" x14ac:dyDescent="0.2">
      <c r="AE58" t="s">
        <v>46</v>
      </c>
      <c r="AF58">
        <f>AL42</f>
        <v>3.3307382423796954E-6</v>
      </c>
      <c r="AI58">
        <v>3.2873644458826822E-6</v>
      </c>
    </row>
    <row r="59" spans="1:35" x14ac:dyDescent="0.2">
      <c r="AE59" t="s">
        <v>47</v>
      </c>
      <c r="AF59">
        <f>AL43</f>
        <v>8.1130794040723575E-6</v>
      </c>
      <c r="AI59">
        <v>7.6126638685896075E-6</v>
      </c>
    </row>
    <row r="60" spans="1:35" x14ac:dyDescent="0.2">
      <c r="AE60" s="1" t="s">
        <v>48</v>
      </c>
      <c r="AF60">
        <f>AM42</f>
        <v>3.2622435382064656E-6</v>
      </c>
      <c r="AI60">
        <v>3.7855601985837959E-6</v>
      </c>
    </row>
    <row r="61" spans="1:35" x14ac:dyDescent="0.2">
      <c r="AE61" s="1" t="s">
        <v>49</v>
      </c>
      <c r="AF61">
        <f>AM43</f>
        <v>1.366809769002995E-5</v>
      </c>
      <c r="AI61">
        <v>1.2865905899897505E-5</v>
      </c>
    </row>
    <row r="62" spans="1:35" x14ac:dyDescent="0.2">
      <c r="AE62" s="1" t="s">
        <v>50</v>
      </c>
      <c r="AF62">
        <f>AN42</f>
        <v>5.0236676851693154E-6</v>
      </c>
      <c r="AI62">
        <v>5.3741164633481407E-6</v>
      </c>
    </row>
    <row r="63" spans="1:35" x14ac:dyDescent="0.2">
      <c r="AE63" s="1" t="s">
        <v>51</v>
      </c>
      <c r="AF63">
        <f>AN43</f>
        <v>1.5252151837670582E-5</v>
      </c>
      <c r="AI63">
        <v>1.4451200535072439E-5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TOTALS</vt:lpstr>
      <vt:lpstr>tracheidogram-avg</vt:lpstr>
      <vt:lpstr>Hydraulic diam</vt:lpstr>
      <vt:lpstr>TOTALS_2axis_</vt:lpstr>
      <vt:lpstr>TOTALS_2axis_D4</vt:lpstr>
      <vt:lpstr>TOTALS_2axis_D4 (2)</vt:lpstr>
      <vt:lpstr>Hydraulic_diam_2axis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Estefania Roldin Nicolau</dc:creator>
  <cp:lastModifiedBy>Estefania Roldin Nicolau</cp:lastModifiedBy>
  <dcterms:created xsi:type="dcterms:W3CDTF">2025-06-18T18:42:37Z</dcterms:created>
  <dcterms:modified xsi:type="dcterms:W3CDTF">2025-10-13T03:37:03Z</dcterms:modified>
</cp:coreProperties>
</file>