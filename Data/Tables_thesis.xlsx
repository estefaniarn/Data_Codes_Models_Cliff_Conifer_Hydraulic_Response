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iaroldannicolau/Documents/GitHub/Data_Codes_Models_Cliff_Conifer_Hydraulic_Response/Data/"/>
    </mc:Choice>
  </mc:AlternateContent>
  <xr:revisionPtr revIDLastSave="0" documentId="8_{A8584C19-6009-9744-AA17-0C9C477BC212}" xr6:coauthVersionLast="47" xr6:coauthVersionMax="47" xr10:uidLastSave="{00000000-0000-0000-0000-000000000000}"/>
  <bookViews>
    <workbookView xWindow="6080" yWindow="580" windowWidth="22720" windowHeight="15480" activeTab="2" xr2:uid="{044B70C8-A148-8744-B5BE-4FC359165E45}"/>
  </bookViews>
  <sheets>
    <sheet name="Leaf Areas" sheetId="1" r:id="rId1"/>
    <sheet name="Tracheid Diameters" sheetId="3" r:id="rId2"/>
    <sheet name="Weibull 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B2" i="3"/>
  <c r="C2" i="3" s="1"/>
  <c r="D2" i="3" l="1"/>
</calcChain>
</file>

<file path=xl/sharedStrings.xml><?xml version="1.0" encoding="utf-8"?>
<sst xmlns="http://schemas.openxmlformats.org/spreadsheetml/2006/main" count="105" uniqueCount="62">
  <si>
    <t>ES51</t>
  </si>
  <si>
    <t>ES50</t>
  </si>
  <si>
    <t>ES42</t>
  </si>
  <si>
    <t>ES01</t>
  </si>
  <si>
    <t>ES48</t>
  </si>
  <si>
    <t>DF27</t>
  </si>
  <si>
    <t>DF03</t>
  </si>
  <si>
    <t>DF21</t>
  </si>
  <si>
    <t>DF49</t>
  </si>
  <si>
    <t>ES51LW</t>
  </si>
  <si>
    <t>ES51EW</t>
  </si>
  <si>
    <t>ES50LW</t>
  </si>
  <si>
    <t>ES50EW</t>
  </si>
  <si>
    <t>ES42LW</t>
  </si>
  <si>
    <t>ES42EW</t>
  </si>
  <si>
    <t>ES01LW</t>
  </si>
  <si>
    <t>ES01EW</t>
  </si>
  <si>
    <t>ES48LW</t>
  </si>
  <si>
    <t>ES48EW</t>
  </si>
  <si>
    <t>DF27LW</t>
  </si>
  <si>
    <t>DF27EW</t>
  </si>
  <si>
    <t>DF03LW</t>
  </si>
  <si>
    <t>DF03EW</t>
  </si>
  <si>
    <t>DF21LW</t>
  </si>
  <si>
    <t>DF21EW</t>
  </si>
  <si>
    <t>DF49LW</t>
  </si>
  <si>
    <t>DF49EW</t>
  </si>
  <si>
    <t>Tree</t>
  </si>
  <si>
    <t>Diameter</t>
  </si>
  <si>
    <t>Bark_depth</t>
  </si>
  <si>
    <t>SW_depth</t>
  </si>
  <si>
    <t>To calculate A_sw</t>
  </si>
  <si>
    <t>Tracheid density (tracheids m^-2)</t>
  </si>
  <si>
    <t xml:space="preserve">Ks (kg Mpa-1 s-1 m-1) </t>
  </si>
  <si>
    <t>L(m)</t>
  </si>
  <si>
    <t>Kh (kg Mpa-1 s-1)</t>
  </si>
  <si>
    <t>Kh_max  (kg Mpa-1 s-1)</t>
  </si>
  <si>
    <t>Rmin  (Mpa s kg-1)</t>
  </si>
  <si>
    <t>Hydraulic radius (micrometers)</t>
  </si>
  <si>
    <t xml:space="preserve">Effective hydraulic diameter (micrometers) </t>
  </si>
  <si>
    <t>Site</t>
  </si>
  <si>
    <t>D (m)</t>
  </si>
  <si>
    <t>D Error</t>
  </si>
  <si>
    <t>A_sw (m²)</t>
  </si>
  <si>
    <t>A_sw Error</t>
  </si>
  <si>
    <t>A_leaf (m²)</t>
  </si>
  <si>
    <t>A_leaf Error</t>
  </si>
  <si>
    <t>Glacial till</t>
  </si>
  <si>
    <t>Lower Cliff</t>
  </si>
  <si>
    <t>Upper Cliff</t>
  </si>
  <si>
    <t>Dh_eff_error</t>
  </si>
  <si>
    <t>Kh_max_error</t>
  </si>
  <si>
    <t>R_min_error</t>
  </si>
  <si>
    <t>-</t>
  </si>
  <si>
    <t>Tree/Tracheid_Type</t>
  </si>
  <si>
    <t>Rh_error</t>
  </si>
  <si>
    <t>Year</t>
  </si>
  <si>
    <t>R_p_mean_value</t>
  </si>
  <si>
    <t>R_p_min_value</t>
  </si>
  <si>
    <t>d_value</t>
  </si>
  <si>
    <t>b_value</t>
  </si>
  <si>
    <t>R2_value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</si>
</sst>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94CB-DFAC-CC42-81FE-A2D22E4ADB4D}">
  <dimension ref="A1:H23"/>
  <sheetViews>
    <sheetView workbookViewId="0">
      <selection activeCell="G17" sqref="G17"/>
    </sheetView>
  </sheetViews>
  <sheetFormatPr baseColWidth="10" defaultRowHeight="16" x14ac:dyDescent="0.2"/>
  <sheetData>
    <row r="1" spans="1:8" x14ac:dyDescent="0.2">
      <c r="A1" s="7" t="s">
        <v>27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</row>
    <row r="2" spans="1:8" x14ac:dyDescent="0.2">
      <c r="A2" t="s">
        <v>8</v>
      </c>
      <c r="B2" t="s">
        <v>47</v>
      </c>
      <c r="C2">
        <v>0.48899999999999999</v>
      </c>
      <c r="D2">
        <v>1E-3</v>
      </c>
      <c r="E2">
        <v>2.9000000000000001E-2</v>
      </c>
      <c r="F2">
        <v>3.4000000000000002E-4</v>
      </c>
      <c r="G2">
        <v>96.001000000000005</v>
      </c>
      <c r="H2">
        <v>1.1200000000000001</v>
      </c>
    </row>
    <row r="3" spans="1:8" x14ac:dyDescent="0.2">
      <c r="A3" t="s">
        <v>4</v>
      </c>
      <c r="B3" t="s">
        <v>47</v>
      </c>
      <c r="C3">
        <v>0.34</v>
      </c>
      <c r="D3">
        <v>1E-3</v>
      </c>
      <c r="E3">
        <v>2.1000000000000001E-2</v>
      </c>
      <c r="F3">
        <v>2.7E-4</v>
      </c>
      <c r="G3">
        <v>59.692999999999998</v>
      </c>
      <c r="H3">
        <v>0.78</v>
      </c>
    </row>
    <row r="4" spans="1:8" x14ac:dyDescent="0.2">
      <c r="A4" t="s">
        <v>7</v>
      </c>
      <c r="B4" t="s">
        <v>48</v>
      </c>
      <c r="C4">
        <v>0.26500000000000001</v>
      </c>
      <c r="D4">
        <v>1E-3</v>
      </c>
      <c r="E4">
        <v>3.0000000000000001E-3</v>
      </c>
      <c r="F4">
        <v>1.6000000000000001E-4</v>
      </c>
      <c r="G4">
        <v>11.593</v>
      </c>
      <c r="H4">
        <v>0.53</v>
      </c>
    </row>
    <row r="5" spans="1:8" x14ac:dyDescent="0.2">
      <c r="A5" t="s">
        <v>1</v>
      </c>
      <c r="B5" t="s">
        <v>48</v>
      </c>
      <c r="C5">
        <v>0.17100000000000001</v>
      </c>
      <c r="D5">
        <v>1E-3</v>
      </c>
      <c r="E5">
        <v>5.0000000000000001E-3</v>
      </c>
      <c r="F5">
        <v>1.2999999999999999E-4</v>
      </c>
      <c r="G5">
        <v>14.545</v>
      </c>
      <c r="H5">
        <v>0.38</v>
      </c>
    </row>
    <row r="6" spans="1:8" x14ac:dyDescent="0.2">
      <c r="A6" t="s">
        <v>6</v>
      </c>
      <c r="B6" t="s">
        <v>49</v>
      </c>
      <c r="C6">
        <v>0.249</v>
      </c>
      <c r="D6">
        <v>1E-3</v>
      </c>
      <c r="E6">
        <v>4.0000000000000001E-3</v>
      </c>
      <c r="F6">
        <v>1.6000000000000001E-4</v>
      </c>
      <c r="G6">
        <v>13.371</v>
      </c>
      <c r="H6">
        <v>0.53</v>
      </c>
    </row>
    <row r="7" spans="1:8" x14ac:dyDescent="0.2">
      <c r="A7" t="s">
        <v>0</v>
      </c>
      <c r="B7" t="s">
        <v>49</v>
      </c>
      <c r="C7">
        <v>0.184</v>
      </c>
      <c r="D7">
        <v>1E-3</v>
      </c>
      <c r="E7">
        <v>2E-3</v>
      </c>
      <c r="F7">
        <v>1.2999999999999999E-4</v>
      </c>
      <c r="G7">
        <v>4.8380000000000001</v>
      </c>
      <c r="H7">
        <v>0.38</v>
      </c>
    </row>
    <row r="8" spans="1:8" x14ac:dyDescent="0.2">
      <c r="A8" t="s">
        <v>5</v>
      </c>
      <c r="B8" t="s">
        <v>49</v>
      </c>
      <c r="C8">
        <v>0.32</v>
      </c>
      <c r="D8">
        <v>1E-3</v>
      </c>
      <c r="E8">
        <v>3.0000000000000001E-3</v>
      </c>
      <c r="F8">
        <v>1.8000000000000001E-4</v>
      </c>
      <c r="G8">
        <v>10.831</v>
      </c>
      <c r="H8">
        <v>0.59</v>
      </c>
    </row>
    <row r="9" spans="1:8" x14ac:dyDescent="0.2">
      <c r="A9" t="s">
        <v>2</v>
      </c>
      <c r="B9" t="s">
        <v>49</v>
      </c>
      <c r="C9">
        <v>0.15</v>
      </c>
      <c r="D9">
        <v>1E-3</v>
      </c>
      <c r="E9">
        <v>4.0000000000000001E-3</v>
      </c>
      <c r="F9">
        <v>1.2E-4</v>
      </c>
      <c r="G9">
        <v>11.856999999999999</v>
      </c>
      <c r="H9">
        <v>0.35</v>
      </c>
    </row>
    <row r="10" spans="1:8" x14ac:dyDescent="0.2">
      <c r="A10" t="s">
        <v>3</v>
      </c>
      <c r="B10" t="s">
        <v>49</v>
      </c>
      <c r="C10">
        <v>0.22900000000000001</v>
      </c>
      <c r="D10">
        <v>1E-3</v>
      </c>
      <c r="E10">
        <v>2E-3</v>
      </c>
      <c r="F10">
        <v>1.3999999999999999E-4</v>
      </c>
      <c r="G10">
        <v>6.0670000000000002</v>
      </c>
      <c r="H10">
        <v>0.41</v>
      </c>
    </row>
    <row r="11" spans="1:8" x14ac:dyDescent="0.2">
      <c r="A11" s="1"/>
      <c r="B11" s="2"/>
    </row>
    <row r="12" spans="1:8" x14ac:dyDescent="0.2">
      <c r="B12" s="2"/>
    </row>
    <row r="13" spans="1:8" x14ac:dyDescent="0.2">
      <c r="A13" t="s">
        <v>31</v>
      </c>
      <c r="B13" s="2"/>
    </row>
    <row r="14" spans="1:8" x14ac:dyDescent="0.2">
      <c r="A14" s="4" t="s">
        <v>27</v>
      </c>
      <c r="B14" s="4" t="s">
        <v>29</v>
      </c>
      <c r="C14" s="4" t="s">
        <v>30</v>
      </c>
      <c r="D14" s="4" t="s">
        <v>28</v>
      </c>
    </row>
    <row r="15" spans="1:8" x14ac:dyDescent="0.2">
      <c r="A15" s="4" t="s">
        <v>8</v>
      </c>
      <c r="B15" s="5">
        <v>0.6</v>
      </c>
      <c r="C15" s="5">
        <v>4</v>
      </c>
      <c r="D15" s="5">
        <v>48.9</v>
      </c>
    </row>
    <row r="16" spans="1:8" x14ac:dyDescent="0.2">
      <c r="A16" s="4" t="s">
        <v>7</v>
      </c>
      <c r="B16" s="5">
        <v>1.2</v>
      </c>
      <c r="C16" s="5">
        <v>0.9</v>
      </c>
      <c r="D16" s="5">
        <v>26.5</v>
      </c>
    </row>
    <row r="17" spans="1:4" x14ac:dyDescent="0.2">
      <c r="A17" s="4" t="s">
        <v>5</v>
      </c>
      <c r="B17" s="5">
        <v>1.8</v>
      </c>
      <c r="C17" s="5">
        <v>0.7</v>
      </c>
      <c r="D17" s="5">
        <v>32</v>
      </c>
    </row>
    <row r="18" spans="1:4" x14ac:dyDescent="0.2">
      <c r="A18" s="4" t="s">
        <v>6</v>
      </c>
      <c r="B18" s="5">
        <v>0.9</v>
      </c>
      <c r="C18" s="5">
        <v>1.1000000000000001</v>
      </c>
      <c r="D18" s="5">
        <v>24.9</v>
      </c>
    </row>
    <row r="19" spans="1:4" x14ac:dyDescent="0.2">
      <c r="A19" s="4" t="s">
        <v>4</v>
      </c>
      <c r="B19" s="5">
        <v>0.7</v>
      </c>
      <c r="C19" s="5">
        <v>4.2</v>
      </c>
      <c r="D19" s="5">
        <v>34</v>
      </c>
    </row>
    <row r="20" spans="1:4" x14ac:dyDescent="0.2">
      <c r="A20" s="4" t="s">
        <v>1</v>
      </c>
      <c r="B20" s="5">
        <v>0.5</v>
      </c>
      <c r="C20" s="5">
        <v>2.0499999999999998</v>
      </c>
      <c r="D20" s="5">
        <v>17.100000000000001</v>
      </c>
    </row>
    <row r="21" spans="1:4" x14ac:dyDescent="0.2">
      <c r="A21" s="4" t="s">
        <v>2</v>
      </c>
      <c r="B21" s="5">
        <v>0.35</v>
      </c>
      <c r="C21" s="5">
        <v>1.9</v>
      </c>
      <c r="D21" s="5">
        <v>15</v>
      </c>
    </row>
    <row r="22" spans="1:4" x14ac:dyDescent="0.2">
      <c r="A22" s="4" t="s">
        <v>3</v>
      </c>
      <c r="B22" s="5">
        <v>0.4</v>
      </c>
      <c r="C22" s="5">
        <v>0.6</v>
      </c>
      <c r="D22" s="5">
        <v>22.9</v>
      </c>
    </row>
    <row r="23" spans="1:4" x14ac:dyDescent="0.2">
      <c r="A23" s="4" t="s">
        <v>0</v>
      </c>
      <c r="B23" s="5">
        <v>0.4</v>
      </c>
      <c r="C23" s="5">
        <v>0.6</v>
      </c>
      <c r="D23" s="5">
        <v>18.399999999999999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BD5E-A842-304D-8622-7FD64951F937}">
  <dimension ref="A1:O21"/>
  <sheetViews>
    <sheetView workbookViewId="0">
      <selection activeCell="D27" sqref="D27"/>
    </sheetView>
  </sheetViews>
  <sheetFormatPr baseColWidth="10" defaultRowHeight="16" x14ac:dyDescent="0.2"/>
  <cols>
    <col min="2" max="2" width="24" customWidth="1"/>
    <col min="3" max="3" width="10.33203125" customWidth="1"/>
    <col min="4" max="4" width="31.6640625" customWidth="1"/>
    <col min="5" max="5" width="10.83203125" customWidth="1"/>
    <col min="6" max="7" width="11.6640625" customWidth="1"/>
  </cols>
  <sheetData>
    <row r="1" spans="1:15" x14ac:dyDescent="0.2">
      <c r="A1" s="3" t="s">
        <v>54</v>
      </c>
      <c r="B1" s="3" t="s">
        <v>38</v>
      </c>
      <c r="C1" s="3" t="s">
        <v>55</v>
      </c>
      <c r="D1" s="3" t="s">
        <v>39</v>
      </c>
      <c r="E1" s="7" t="s">
        <v>50</v>
      </c>
      <c r="F1" s="3" t="s">
        <v>32</v>
      </c>
      <c r="G1" s="3"/>
      <c r="H1" s="3" t="s">
        <v>33</v>
      </c>
      <c r="I1" s="3"/>
      <c r="J1" s="3" t="s">
        <v>34</v>
      </c>
      <c r="K1" s="3" t="s">
        <v>35</v>
      </c>
      <c r="L1" s="3" t="s">
        <v>36</v>
      </c>
      <c r="M1" s="7" t="s">
        <v>51</v>
      </c>
      <c r="N1" s="3" t="s">
        <v>37</v>
      </c>
      <c r="O1" s="7" t="s">
        <v>52</v>
      </c>
    </row>
    <row r="2" spans="1:15" x14ac:dyDescent="0.2">
      <c r="A2" t="s">
        <v>9</v>
      </c>
      <c r="B2" s="2">
        <f>3.39344868923714E-06*1000000</f>
        <v>3.39344868923714</v>
      </c>
      <c r="C2" s="2">
        <f>B2/2</f>
        <v>1.69672434461857</v>
      </c>
      <c r="D2" s="2">
        <f>B2*2</f>
        <v>6.7868973784742801</v>
      </c>
      <c r="E2">
        <v>0.54</v>
      </c>
      <c r="F2">
        <v>1945044766.9033651</v>
      </c>
      <c r="G2" s="6">
        <v>195000000</v>
      </c>
      <c r="H2">
        <v>1.0108464161398789E-2</v>
      </c>
      <c r="I2">
        <v>2E-3</v>
      </c>
      <c r="J2">
        <v>1.8</v>
      </c>
      <c r="K2">
        <v>1.6862795353467439E-5</v>
      </c>
      <c r="L2">
        <v>5.9999639107377741E-4</v>
      </c>
      <c r="M2">
        <v>0</v>
      </c>
      <c r="N2">
        <v>1666.6766915220278</v>
      </c>
      <c r="O2">
        <v>266.67</v>
      </c>
    </row>
    <row r="3" spans="1:15" x14ac:dyDescent="0.2">
      <c r="A3" t="s">
        <v>10</v>
      </c>
      <c r="B3" s="2">
        <v>9.4057424405693908</v>
      </c>
      <c r="C3" s="2">
        <f t="shared" ref="C3:C19" si="0">B3/2</f>
        <v>4.7028712202846954</v>
      </c>
      <c r="D3" s="2">
        <f t="shared" ref="D3:D19" si="1">B3*2</f>
        <v>18.811484881138782</v>
      </c>
      <c r="E3">
        <v>1.51</v>
      </c>
      <c r="F3">
        <v>1299202009.309938</v>
      </c>
      <c r="G3" s="6">
        <v>130000000</v>
      </c>
      <c r="H3">
        <v>0.39851019775352237</v>
      </c>
      <c r="I3">
        <v>6.4000000000000001E-2</v>
      </c>
      <c r="J3">
        <v>1.8</v>
      </c>
      <c r="K3">
        <v>6.6478901282047845E-4</v>
      </c>
      <c r="M3" t="s">
        <v>53</v>
      </c>
      <c r="O3" t="s">
        <v>53</v>
      </c>
    </row>
    <row r="4" spans="1:15" x14ac:dyDescent="0.2">
      <c r="A4" t="s">
        <v>11</v>
      </c>
      <c r="B4" s="2">
        <v>2.86386526621349</v>
      </c>
      <c r="C4" s="2">
        <f t="shared" si="0"/>
        <v>1.431932633106745</v>
      </c>
      <c r="D4" s="2">
        <f t="shared" si="1"/>
        <v>5.72773053242698</v>
      </c>
      <c r="E4">
        <v>0.46</v>
      </c>
      <c r="F4">
        <v>1907785001.1622787</v>
      </c>
      <c r="G4" s="6">
        <v>191000000</v>
      </c>
      <c r="H4">
        <v>5.0295622306309809E-3</v>
      </c>
      <c r="I4">
        <v>1E-3</v>
      </c>
      <c r="J4">
        <v>1.2</v>
      </c>
      <c r="K4">
        <v>2.52250467298613E-5</v>
      </c>
      <c r="L4">
        <v>3.8217153107102117E-3</v>
      </c>
      <c r="M4">
        <v>1E-3</v>
      </c>
      <c r="N4">
        <v>261.66260924709331</v>
      </c>
      <c r="O4">
        <v>41.87</v>
      </c>
    </row>
    <row r="5" spans="1:15" x14ac:dyDescent="0.2">
      <c r="A5" t="s">
        <v>12</v>
      </c>
      <c r="B5" s="2">
        <v>11.8554674719757</v>
      </c>
      <c r="C5" s="2">
        <f t="shared" si="0"/>
        <v>5.9277337359878501</v>
      </c>
      <c r="D5" s="2">
        <f t="shared" si="1"/>
        <v>23.710934943951401</v>
      </c>
      <c r="E5">
        <v>1.9</v>
      </c>
      <c r="F5">
        <v>1092853935.7065306</v>
      </c>
      <c r="G5" s="6">
        <v>109000000</v>
      </c>
      <c r="H5">
        <v>0.84611088223599296</v>
      </c>
      <c r="I5">
        <v>0.13500000000000001</v>
      </c>
      <c r="J5">
        <v>1.2</v>
      </c>
      <c r="K5">
        <v>4.2435475622635841E-3</v>
      </c>
      <c r="M5" t="s">
        <v>53</v>
      </c>
      <c r="O5" t="s">
        <v>53</v>
      </c>
    </row>
    <row r="6" spans="1:15" x14ac:dyDescent="0.2">
      <c r="A6" t="s">
        <v>13</v>
      </c>
      <c r="B6" s="2">
        <v>3.97372919705774</v>
      </c>
      <c r="C6" s="2">
        <f t="shared" si="0"/>
        <v>1.98686459852887</v>
      </c>
      <c r="D6" s="2">
        <f t="shared" si="1"/>
        <v>7.9474583941154799</v>
      </c>
      <c r="E6">
        <v>0.64</v>
      </c>
      <c r="F6">
        <v>1885175116.9630623</v>
      </c>
      <c r="G6" s="6">
        <v>189000000</v>
      </c>
      <c r="H6">
        <v>1.8421932857878336E-2</v>
      </c>
      <c r="I6">
        <v>3.0000000000000001E-3</v>
      </c>
      <c r="J6">
        <v>1.2</v>
      </c>
      <c r="K6">
        <v>7.5323282924002352E-5</v>
      </c>
      <c r="L6">
        <v>2.1963605779844759E-3</v>
      </c>
      <c r="M6">
        <v>0</v>
      </c>
      <c r="N6">
        <v>455.2986472365414</v>
      </c>
      <c r="O6">
        <v>72.849999999999994</v>
      </c>
    </row>
    <row r="7" spans="1:15" x14ac:dyDescent="0.2">
      <c r="A7" t="s">
        <v>14</v>
      </c>
      <c r="B7" s="2">
        <v>11.3920502232241</v>
      </c>
      <c r="C7" s="2">
        <f t="shared" si="0"/>
        <v>5.6960251116120499</v>
      </c>
      <c r="D7" s="2">
        <f t="shared" si="1"/>
        <v>22.7841004464482</v>
      </c>
      <c r="E7">
        <v>1.82</v>
      </c>
      <c r="F7">
        <v>901108611.14501977</v>
      </c>
      <c r="G7" s="6">
        <v>90100000</v>
      </c>
      <c r="H7">
        <v>0.59480571224258372</v>
      </c>
      <c r="I7">
        <v>9.5000000000000001E-2</v>
      </c>
      <c r="J7">
        <v>1.2</v>
      </c>
      <c r="K7">
        <v>2.4320313885467506E-3</v>
      </c>
      <c r="M7" t="s">
        <v>53</v>
      </c>
      <c r="O7" t="s">
        <v>53</v>
      </c>
    </row>
    <row r="8" spans="1:15" x14ac:dyDescent="0.2">
      <c r="A8" t="s">
        <v>15</v>
      </c>
      <c r="B8" s="2">
        <v>3.4085647549750502</v>
      </c>
      <c r="C8" s="2">
        <f t="shared" si="0"/>
        <v>1.7042823774875251</v>
      </c>
      <c r="D8" s="2">
        <f t="shared" si="1"/>
        <v>6.8171295099501004</v>
      </c>
      <c r="E8">
        <v>0.55000000000000004</v>
      </c>
      <c r="F8">
        <v>1921749773.7200744</v>
      </c>
      <c r="G8" s="6">
        <v>192000000</v>
      </c>
      <c r="H8">
        <v>1.0166546741003731E-2</v>
      </c>
      <c r="I8">
        <v>2E-3</v>
      </c>
      <c r="J8">
        <v>1.8</v>
      </c>
      <c r="K8">
        <v>2.1271472936907142E-5</v>
      </c>
      <c r="L8">
        <v>6.3176764710981591E-4</v>
      </c>
      <c r="M8">
        <v>0</v>
      </c>
      <c r="N8">
        <v>1582.8604148609984</v>
      </c>
      <c r="O8">
        <v>253.26</v>
      </c>
    </row>
    <row r="9" spans="1:15" x14ac:dyDescent="0.2">
      <c r="A9" t="s">
        <v>16</v>
      </c>
      <c r="B9" s="2">
        <v>9.5406100621633705</v>
      </c>
      <c r="C9" s="2">
        <f t="shared" si="0"/>
        <v>4.7703050310816852</v>
      </c>
      <c r="D9" s="2">
        <f t="shared" si="1"/>
        <v>19.081220124326741</v>
      </c>
      <c r="E9">
        <v>1.53</v>
      </c>
      <c r="F9">
        <v>1029748179.181354</v>
      </c>
      <c r="G9" s="6">
        <v>103000000</v>
      </c>
      <c r="H9">
        <v>0.33436902875070995</v>
      </c>
      <c r="I9">
        <v>5.2999999999999999E-2</v>
      </c>
      <c r="J9">
        <v>1.8</v>
      </c>
      <c r="K9">
        <v>6.9960055535125021E-4</v>
      </c>
      <c r="M9" t="s">
        <v>53</v>
      </c>
      <c r="O9" t="s">
        <v>53</v>
      </c>
    </row>
    <row r="10" spans="1:15" x14ac:dyDescent="0.2">
      <c r="A10" t="s">
        <v>17</v>
      </c>
      <c r="B10" s="2">
        <v>5.5508204613628374E-6</v>
      </c>
      <c r="C10" s="2">
        <f t="shared" si="0"/>
        <v>2.7754102306814187E-6</v>
      </c>
      <c r="D10" s="2">
        <f t="shared" si="1"/>
        <v>1.1101640922725675E-5</v>
      </c>
      <c r="E10">
        <v>0.89</v>
      </c>
      <c r="F10">
        <v>1402828427.1260099</v>
      </c>
      <c r="G10" s="6">
        <v>140000000</v>
      </c>
      <c r="H10">
        <v>5.2194375653330495E-2</v>
      </c>
      <c r="I10">
        <v>8.0000000000000002E-3</v>
      </c>
      <c r="J10">
        <v>1.58</v>
      </c>
      <c r="K10">
        <v>1.0743541565126408E-3</v>
      </c>
      <c r="L10">
        <v>3.5397262397596434E-2</v>
      </c>
      <c r="M10">
        <v>6.0000000000000001E-3</v>
      </c>
      <c r="N10">
        <v>28.250772298930737</v>
      </c>
      <c r="O10">
        <v>4.5199999999999996</v>
      </c>
    </row>
    <row r="11" spans="1:15" x14ac:dyDescent="0.2">
      <c r="A11" t="s">
        <v>18</v>
      </c>
      <c r="B11" s="2">
        <v>15.379800820041099</v>
      </c>
      <c r="C11" s="2">
        <f t="shared" si="0"/>
        <v>7.6899004100205497</v>
      </c>
      <c r="D11" s="2">
        <f t="shared" si="1"/>
        <v>30.759601640082199</v>
      </c>
      <c r="E11">
        <v>2.46</v>
      </c>
      <c r="F11">
        <v>868740337.05044556</v>
      </c>
      <c r="G11" s="6">
        <v>86900000</v>
      </c>
      <c r="H11">
        <v>1.9049485839893909</v>
      </c>
      <c r="I11">
        <v>0.30499999999999999</v>
      </c>
      <c r="J11">
        <v>1.58</v>
      </c>
      <c r="K11">
        <v>3.9210918868827965E-2</v>
      </c>
      <c r="M11" t="s">
        <v>53</v>
      </c>
      <c r="O11" t="s">
        <v>53</v>
      </c>
    </row>
    <row r="12" spans="1:15" x14ac:dyDescent="0.2">
      <c r="A12" t="s">
        <v>19</v>
      </c>
      <c r="B12" s="2">
        <v>3.0397148171416299</v>
      </c>
      <c r="C12" s="2">
        <f t="shared" si="0"/>
        <v>1.519857408570815</v>
      </c>
      <c r="D12" s="2">
        <f t="shared" si="1"/>
        <v>6.0794296342832599</v>
      </c>
      <c r="E12">
        <v>0.49</v>
      </c>
      <c r="F12">
        <v>2292232684.6603961</v>
      </c>
      <c r="G12" s="6">
        <v>229000000</v>
      </c>
      <c r="H12">
        <v>7.6697373119907659E-3</v>
      </c>
      <c r="I12">
        <v>1E-3</v>
      </c>
      <c r="J12">
        <v>2.2000000000000002</v>
      </c>
      <c r="K12">
        <v>2.5173450164459235E-5</v>
      </c>
      <c r="L12">
        <v>1.7436380219519366E-3</v>
      </c>
      <c r="M12">
        <v>0</v>
      </c>
      <c r="N12">
        <v>573.51353171373148</v>
      </c>
      <c r="O12">
        <v>91.76</v>
      </c>
    </row>
    <row r="13" spans="1:15" x14ac:dyDescent="0.2">
      <c r="A13" t="s">
        <v>20</v>
      </c>
      <c r="B13" s="2">
        <v>10.296078113928701</v>
      </c>
      <c r="C13" s="2">
        <f t="shared" si="0"/>
        <v>5.1480390569643504</v>
      </c>
      <c r="D13" s="2">
        <f t="shared" si="1"/>
        <v>20.592156227857402</v>
      </c>
      <c r="E13">
        <v>1.65</v>
      </c>
      <c r="F13">
        <v>1503386083.965745</v>
      </c>
      <c r="G13" s="6">
        <v>150000000</v>
      </c>
      <c r="H13">
        <v>0.66213762706617718</v>
      </c>
      <c r="I13">
        <v>0.106</v>
      </c>
      <c r="J13">
        <v>2.2000000000000002</v>
      </c>
      <c r="K13">
        <v>2.1732541648988059E-3</v>
      </c>
      <c r="M13" t="s">
        <v>53</v>
      </c>
      <c r="O13" t="s">
        <v>53</v>
      </c>
    </row>
    <row r="14" spans="1:15" x14ac:dyDescent="0.2">
      <c r="A14" t="s">
        <v>21</v>
      </c>
      <c r="B14" s="2">
        <v>3.2873644458826798</v>
      </c>
      <c r="C14" s="2">
        <f t="shared" si="0"/>
        <v>1.6436822229413399</v>
      </c>
      <c r="D14" s="2">
        <f t="shared" si="1"/>
        <v>6.5747288917653597</v>
      </c>
      <c r="E14">
        <v>0.53</v>
      </c>
      <c r="F14">
        <v>2292232684.6603961</v>
      </c>
      <c r="G14" s="6">
        <v>229000000</v>
      </c>
      <c r="H14">
        <v>1.0491571456785901E-2</v>
      </c>
      <c r="I14">
        <v>2E-3</v>
      </c>
      <c r="J14">
        <v>1</v>
      </c>
      <c r="K14">
        <v>4.2510474458140437E-5</v>
      </c>
      <c r="L14">
        <v>6.4993755662676937E-4</v>
      </c>
      <c r="M14">
        <v>0</v>
      </c>
      <c r="N14">
        <v>1538.6093476273077</v>
      </c>
      <c r="O14">
        <v>246.18</v>
      </c>
    </row>
    <row r="15" spans="1:15" x14ac:dyDescent="0.2">
      <c r="A15" t="s">
        <v>22</v>
      </c>
      <c r="B15" s="2">
        <v>7.6126638685896104</v>
      </c>
      <c r="C15" s="2">
        <f t="shared" si="0"/>
        <v>3.8063319342948052</v>
      </c>
      <c r="D15" s="2">
        <f t="shared" si="1"/>
        <v>15.225327737179221</v>
      </c>
      <c r="E15">
        <v>1.22</v>
      </c>
      <c r="F15">
        <v>1503386083.965745</v>
      </c>
      <c r="G15" s="6">
        <v>150000000</v>
      </c>
      <c r="H15">
        <v>0.19788258268962972</v>
      </c>
      <c r="I15">
        <v>3.2000000000000001E-2</v>
      </c>
      <c r="J15">
        <v>1</v>
      </c>
      <c r="K15">
        <v>8.017943271689266E-4</v>
      </c>
      <c r="M15" t="s">
        <v>53</v>
      </c>
      <c r="O15" t="s">
        <v>53</v>
      </c>
    </row>
    <row r="16" spans="1:15" x14ac:dyDescent="0.2">
      <c r="A16" t="s">
        <v>23</v>
      </c>
      <c r="B16" s="2">
        <v>3.7855601985837999</v>
      </c>
      <c r="C16" s="2">
        <f t="shared" si="0"/>
        <v>1.8927800992918999</v>
      </c>
      <c r="D16" s="2">
        <f t="shared" si="1"/>
        <v>7.5711203971675998</v>
      </c>
      <c r="E16">
        <v>0.61</v>
      </c>
      <c r="F16">
        <v>2292232684.6603961</v>
      </c>
      <c r="G16" s="6">
        <v>229000000</v>
      </c>
      <c r="H16">
        <v>1.8448869335001145E-2</v>
      </c>
      <c r="I16">
        <v>3.0000000000000001E-3</v>
      </c>
      <c r="J16">
        <v>1.4</v>
      </c>
      <c r="K16">
        <v>6.4812464297615493E-5</v>
      </c>
      <c r="L16">
        <v>4.5503012218842155E-3</v>
      </c>
      <c r="M16">
        <v>1E-3</v>
      </c>
      <c r="N16">
        <v>219.76567071880882</v>
      </c>
      <c r="O16">
        <v>35.159999999999997</v>
      </c>
    </row>
    <row r="17" spans="1:15" x14ac:dyDescent="0.2">
      <c r="A17" t="s">
        <v>24</v>
      </c>
      <c r="B17" s="2">
        <v>12.8659058998975</v>
      </c>
      <c r="C17" s="2">
        <f t="shared" si="0"/>
        <v>6.4329529499487501</v>
      </c>
      <c r="D17" s="2">
        <f t="shared" si="1"/>
        <v>25.731811799795</v>
      </c>
      <c r="E17">
        <v>2.06</v>
      </c>
      <c r="F17">
        <v>1503386083.965745</v>
      </c>
      <c r="G17" s="6">
        <v>150000000</v>
      </c>
      <c r="H17">
        <v>1.6144419566433699</v>
      </c>
      <c r="I17">
        <v>0.25800000000000001</v>
      </c>
      <c r="J17">
        <v>1.4</v>
      </c>
      <c r="K17">
        <v>5.6716734112808656E-3</v>
      </c>
      <c r="M17" t="s">
        <v>53</v>
      </c>
      <c r="O17" t="s">
        <v>53</v>
      </c>
    </row>
    <row r="18" spans="1:15" x14ac:dyDescent="0.2">
      <c r="A18" t="s">
        <v>25</v>
      </c>
      <c r="B18" s="2">
        <v>5.3741164633481402</v>
      </c>
      <c r="C18" s="2">
        <f t="shared" si="0"/>
        <v>2.6870582316740701</v>
      </c>
      <c r="D18" s="2">
        <f t="shared" si="1"/>
        <v>10.74823292669628</v>
      </c>
      <c r="E18">
        <v>0.89</v>
      </c>
      <c r="F18">
        <v>1550958901.7095528</v>
      </c>
      <c r="G18" s="6">
        <v>155000000</v>
      </c>
      <c r="H18">
        <v>5.070129034057666E-2</v>
      </c>
      <c r="I18">
        <v>8.0000000000000002E-3</v>
      </c>
      <c r="J18">
        <v>3.8</v>
      </c>
      <c r="K18">
        <v>1.4749587396812938E-3</v>
      </c>
      <c r="L18">
        <v>2.9728747109417301E-2</v>
      </c>
      <c r="M18">
        <v>5.0000000000000001E-3</v>
      </c>
      <c r="N18">
        <v>33.637475414603855</v>
      </c>
      <c r="O18">
        <v>5.38</v>
      </c>
    </row>
    <row r="19" spans="1:15" x14ac:dyDescent="0.2">
      <c r="A19" t="s">
        <v>26</v>
      </c>
      <c r="B19" s="2">
        <v>14.451200535072401</v>
      </c>
      <c r="C19" s="2">
        <f t="shared" si="0"/>
        <v>7.2256002675362003</v>
      </c>
      <c r="D19" s="2">
        <f t="shared" si="1"/>
        <v>28.902401070144801</v>
      </c>
      <c r="E19">
        <v>2.3199999999999998</v>
      </c>
      <c r="F19">
        <v>739926688.03710067</v>
      </c>
      <c r="G19" s="6">
        <v>74000000</v>
      </c>
      <c r="H19">
        <v>1.2647212903718366</v>
      </c>
      <c r="I19">
        <v>0.20200000000000001</v>
      </c>
      <c r="J19">
        <v>3.8</v>
      </c>
      <c r="K19">
        <v>3.67921942018513E-2</v>
      </c>
      <c r="M19" t="s">
        <v>53</v>
      </c>
      <c r="O19" t="s">
        <v>53</v>
      </c>
    </row>
    <row r="21" spans="1:15" x14ac:dyDescent="0.2">
      <c r="G2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C72C-1592-C94E-88AD-3183C20F15CC}">
  <dimension ref="A1:G10"/>
  <sheetViews>
    <sheetView tabSelected="1" workbookViewId="0">
      <selection activeCell="J22" sqref="J22"/>
    </sheetView>
  </sheetViews>
  <sheetFormatPr baseColWidth="10" defaultRowHeight="16" x14ac:dyDescent="0.2"/>
  <sheetData>
    <row r="1" spans="1:7" x14ac:dyDescent="0.2">
      <c r="A1" s="7" t="s">
        <v>27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</row>
    <row r="2" spans="1:7" x14ac:dyDescent="0.2">
      <c r="A2" t="s">
        <v>5</v>
      </c>
      <c r="B2">
        <v>2021</v>
      </c>
      <c r="C2">
        <v>11954.45</v>
      </c>
      <c r="D2">
        <v>5057.72</v>
      </c>
      <c r="E2">
        <v>2.7</v>
      </c>
      <c r="F2">
        <v>1</v>
      </c>
      <c r="G2">
        <v>0.89</v>
      </c>
    </row>
    <row r="3" spans="1:7" x14ac:dyDescent="0.2">
      <c r="A3" t="s">
        <v>1</v>
      </c>
      <c r="B3">
        <v>2021</v>
      </c>
      <c r="C3">
        <v>7718.6</v>
      </c>
      <c r="D3">
        <v>1987.25</v>
      </c>
      <c r="E3">
        <v>1.5</v>
      </c>
      <c r="F3">
        <v>1</v>
      </c>
      <c r="G3">
        <v>0.69</v>
      </c>
    </row>
    <row r="4" spans="1:7" x14ac:dyDescent="0.2">
      <c r="A4" t="s">
        <v>0</v>
      </c>
      <c r="B4">
        <v>2021</v>
      </c>
      <c r="C4">
        <v>51015.83</v>
      </c>
      <c r="D4">
        <v>10000</v>
      </c>
      <c r="E4">
        <v>1.5</v>
      </c>
      <c r="F4">
        <v>1.1000000000000001</v>
      </c>
      <c r="G4">
        <v>-0.27</v>
      </c>
    </row>
    <row r="5" spans="1:7" x14ac:dyDescent="0.2">
      <c r="A5" t="s">
        <v>8</v>
      </c>
      <c r="B5">
        <v>2022</v>
      </c>
      <c r="C5">
        <v>194.77</v>
      </c>
      <c r="D5">
        <v>76.849999999999994</v>
      </c>
      <c r="E5">
        <v>1.5</v>
      </c>
      <c r="F5">
        <v>1.24</v>
      </c>
      <c r="G5">
        <v>0.63</v>
      </c>
    </row>
    <row r="6" spans="1:7" x14ac:dyDescent="0.2">
      <c r="A6" t="s">
        <v>7</v>
      </c>
      <c r="B6">
        <v>2022</v>
      </c>
      <c r="C6">
        <v>8365.15</v>
      </c>
      <c r="D6">
        <v>1715.07</v>
      </c>
      <c r="E6">
        <v>1.75</v>
      </c>
      <c r="F6">
        <v>1</v>
      </c>
      <c r="G6">
        <v>7.0000000000000007E-2</v>
      </c>
    </row>
    <row r="7" spans="1:7" x14ac:dyDescent="0.2">
      <c r="A7" t="s">
        <v>5</v>
      </c>
      <c r="B7">
        <v>2022</v>
      </c>
      <c r="C7">
        <v>10797.58</v>
      </c>
      <c r="D7">
        <v>3018.26</v>
      </c>
      <c r="E7">
        <v>1.5</v>
      </c>
      <c r="F7">
        <v>1.22</v>
      </c>
      <c r="G7">
        <v>0.78</v>
      </c>
    </row>
    <row r="8" spans="1:7" x14ac:dyDescent="0.2">
      <c r="A8" t="s">
        <v>4</v>
      </c>
      <c r="B8">
        <v>2022</v>
      </c>
      <c r="C8">
        <v>233.26</v>
      </c>
      <c r="D8">
        <v>170.93</v>
      </c>
      <c r="E8">
        <v>1.5</v>
      </c>
      <c r="F8">
        <v>2.2200000000000002</v>
      </c>
      <c r="G8">
        <v>0.52</v>
      </c>
    </row>
    <row r="9" spans="1:7" x14ac:dyDescent="0.2">
      <c r="A9" t="s">
        <v>2</v>
      </c>
      <c r="B9">
        <v>2022</v>
      </c>
      <c r="C9">
        <v>8859.93</v>
      </c>
      <c r="D9">
        <v>3573.37</v>
      </c>
      <c r="E9">
        <v>1.5</v>
      </c>
      <c r="F9">
        <v>1.07</v>
      </c>
      <c r="G9">
        <v>0.3</v>
      </c>
    </row>
    <row r="10" spans="1:7" x14ac:dyDescent="0.2">
      <c r="A10" t="s">
        <v>3</v>
      </c>
      <c r="B10">
        <v>2022</v>
      </c>
      <c r="C10">
        <v>27814.94</v>
      </c>
      <c r="D10">
        <v>10000</v>
      </c>
      <c r="E10">
        <v>1.5</v>
      </c>
      <c r="F10">
        <v>1</v>
      </c>
      <c r="G10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Leaf Areas</vt:lpstr>
      <vt:lpstr>Tracheid Diameters</vt:lpstr>
      <vt:lpstr>Weibull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Roldin Nicolau</dc:creator>
  <cp:lastModifiedBy>Estefania Roldin Nicolau</cp:lastModifiedBy>
  <dcterms:created xsi:type="dcterms:W3CDTF">2025-12-02T19:27:41Z</dcterms:created>
  <dcterms:modified xsi:type="dcterms:W3CDTF">2025-12-03T18:04:55Z</dcterms:modified>
</cp:coreProperties>
</file>